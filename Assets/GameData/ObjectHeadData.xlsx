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2ba3fd3a6bd41b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번역" sheetId="1" r:id="Re7601841e1364648"/>
    <x:sheet xmlns:r="http://schemas.openxmlformats.org/officeDocument/2006/relationships" name="수치" sheetId="2" r:id="R82cfeb404cdc4dae"/>
    <x:sheet xmlns:r="http://schemas.openxmlformats.org/officeDocument/2006/relationships" name="계산기" sheetId="3" r:id="R212a26b4404d4be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.###"/>
  </x:numFmts>
  <x:fonts count="6">
    <x:font>
      <x:sz val="11"/>
      <x:name val="Carlito"/>
    </x:font>
    <x:font>
      <x:b/>
      <x:sz val="14"/>
      <x:color rgb="FFFFFFFF"/>
      <x:name val="Arial"/>
    </x:font>
    <x:font>
      <x:i/>
      <x:sz val="10"/>
      <x:color rgb="FF334155"/>
      <x:name val="Arial"/>
    </x:font>
    <x:font>
      <x:b/>
      <x:sz val="10"/>
      <x:color rgb="FFFFFFFF"/>
      <x:name val="Arial"/>
    </x:font>
    <x:font>
      <x:sz val="10"/>
      <x:color rgb="FF1F2937"/>
      <x:name val="Arial"/>
    </x:font>
    <x:font>
      <x:sz val="11"/>
      <x:name val="Arial"/>
    </x:font>
  </x:fonts>
  <x:fills count="6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EAF0F4"/>
      </x:patternFill>
    </x:fill>
    <x:fill>
      <x:patternFill patternType="solid">
        <x:fgColor rgb="FF295A73"/>
      </x:patternFill>
    </x:fill>
    <x:fill>
      <x:patternFill patternType="solid">
        <x:fgColor rgb="FFFFF2CC"/>
      </x:patternFill>
    </x:fill>
  </x:fills>
  <x:borders count="13">
    <x:border/>
    <x:border>
      <x:right style="thin">
        <x:color rgb="FFFFFFFF"/>
      </x:right>
    </x:border>
    <x:border>
      <x:left style="thin">
        <x:color rgb="FFFFFFFF"/>
      </x:left>
      <x:right style="thin">
        <x:color rgb="FFFFFFFF"/>
      </x:right>
    </x:border>
    <x:border>
      <x:left style="thin">
        <x:color rgb="FFFFFFFF"/>
      </x:left>
    </x:border>
    <x:border>
      <x:right style="thin">
        <x:color rgb="FFD8E0E6"/>
      </x:right>
      <x:bottom style="thin">
        <x:color rgb="FFD8E0E6"/>
      </x:bottom>
    </x:border>
    <x:border>
      <x:left style="thin">
        <x:color rgb="FFD8E0E6"/>
      </x:left>
      <x:right style="thin">
        <x:color rgb="FFD8E0E6"/>
      </x:right>
      <x:bottom style="thin">
        <x:color rgb="FFD8E0E6"/>
      </x:bottom>
    </x:border>
    <x:border>
      <x:left style="thin">
        <x:color rgb="FFD8E0E6"/>
      </x:left>
      <x:bottom style="thin">
        <x:color rgb="FFD8E0E6"/>
      </x:bottom>
    </x:border>
    <x:border>
      <x:right style="thin">
        <x:color rgb="FFD8E0E6"/>
      </x:right>
      <x:top style="thin">
        <x:color rgb="FFD8E0E6"/>
      </x:top>
      <x:bottom style="thin">
        <x:color rgb="FFD8E0E6"/>
      </x:bottom>
    </x:border>
    <x:border>
      <x:left style="thin">
        <x:color rgb="FFD8E0E6"/>
      </x:left>
      <x:right style="thin">
        <x:color rgb="FFD8E0E6"/>
      </x:right>
      <x:top style="thin">
        <x:color rgb="FFD8E0E6"/>
      </x:top>
      <x:bottom style="thin">
        <x:color rgb="FFD8E0E6"/>
      </x:bottom>
    </x:border>
    <x:border>
      <x:left style="thin">
        <x:color rgb="FFD8E0E6"/>
      </x:left>
      <x:top style="thin">
        <x:color rgb="FFD8E0E6"/>
      </x:top>
      <x:bottom style="thin">
        <x:color rgb="FFD8E0E6"/>
      </x:bottom>
    </x:border>
    <x:border>
      <x:right style="thin">
        <x:color rgb="FFD8E0E6"/>
      </x:right>
      <x:top style="thin">
        <x:color rgb="FFD8E0E6"/>
      </x:top>
    </x:border>
    <x:border>
      <x:left style="thin">
        <x:color rgb="FFD8E0E6"/>
      </x:left>
      <x:right style="thin">
        <x:color rgb="FFD8E0E6"/>
      </x:right>
      <x:top style="thin">
        <x:color rgb="FFD8E0E6"/>
      </x:top>
    </x:border>
    <x:border>
      <x:left style="thin">
        <x:color rgb="FFD8E0E6"/>
      </x:left>
      <x:top style="thin">
        <x:color rgb="FFD8E0E6"/>
      </x:top>
    </x:border>
  </x:borders>
  <x:cellStyleXfs count="1">
    <x:xf numFmtId="0" fontId="0" fillId="0" borderId="0"/>
  </x:cellStyleXfs>
  <x:cellXfs count="44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2" xfId="0" applyNumberFormat="1" applyFont="1" applyFill="1" applyBorder="1"/>
    <x:xf numFmtId="0" fontId="3" fillId="4" borderId="3" xfId="0" applyNumberFormat="1" applyFont="1" applyFill="1" applyBorder="1"/>
    <x:xf numFmtId="0" fontId="3" fillId="4" borderId="1" xfId="0" applyNumberFormat="1" applyFont="1" applyFill="1" applyBorder="1" applyAlignment="1">
      <x:alignment horizontal="center"/>
    </x:xf>
    <x:xf numFmtId="0" fontId="3" fillId="4" borderId="2" xfId="0" applyNumberFormat="1" applyFont="1" applyFill="1" applyBorder="1" applyAlignment="1">
      <x:alignment horizontal="center"/>
    </x:xf>
    <x:xf numFmtId="0" fontId="3" fillId="4" borderId="3" xfId="0" applyNumberFormat="1" applyFont="1" applyFill="1" applyBorder="1" applyAlignment="1">
      <x:alignment horizontal="center"/>
    </x:xf>
    <x:xf numFmtId="0" fontId="3" fillId="4" borderId="1" xfId="0" applyNumberFormat="1" applyFont="1" applyFill="1" applyBorder="1" applyAlignment="1">
      <x:alignment horizontal="center" vertical="center"/>
    </x:xf>
    <x:xf numFmtId="0" fontId="3" fillId="4" borderId="2" xfId="0" applyNumberFormat="1" applyFont="1" applyFill="1" applyBorder="1" applyAlignment="1">
      <x:alignment horizontal="center" vertical="center"/>
    </x:xf>
    <x:xf numFmtId="0" fontId="3" fillId="4" borderId="3" xfId="0" applyNumberFormat="1" applyFont="1" applyFill="1" applyBorder="1" applyAlignment="1">
      <x:alignment horizontal="center" vertical="center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vertical="center"/>
    </x:xf>
    <x:xf numFmtId="0" fontId="4" fillId="0" borderId="4" xfId="0" applyNumberFormat="1" applyFont="1" applyFill="1" applyBorder="1" applyAlignment="1">
      <x:alignment vertical="center"/>
    </x:xf>
    <x:xf numFmtId="0" fontId="4" fillId="0" borderId="5" xfId="0" applyNumberFormat="1" applyFont="1" applyFill="1" applyBorder="1" applyAlignment="1">
      <x:alignment vertical="center"/>
    </x:xf>
    <x:xf numFmtId="0" fontId="4" fillId="0" borderId="6" xfId="0" applyNumberFormat="1" applyFont="1" applyFill="1" applyBorder="1" applyAlignment="1">
      <x:alignment vertical="center"/>
    </x:xf>
    <x:xf numFmtId="0" fontId="4" fillId="0" borderId="7" xfId="0" applyNumberFormat="1" applyFont="1" applyFill="1" applyBorder="1" applyAlignment="1">
      <x:alignment vertical="center"/>
    </x:xf>
    <x:xf numFmtId="0" fontId="4" fillId="0" borderId="8" xfId="0" applyNumberFormat="1" applyFont="1" applyFill="1" applyBorder="1" applyAlignment="1">
      <x:alignment vertical="center"/>
    </x:xf>
    <x:xf numFmtId="0" fontId="4" fillId="0" borderId="9" xfId="0" applyNumberFormat="1" applyFont="1" applyFill="1" applyBorder="1" applyAlignment="1">
      <x:alignment vertical="center"/>
    </x:xf>
    <x:xf numFmtId="0" fontId="4" fillId="0" borderId="10" xfId="0" applyNumberFormat="1" applyFont="1" applyFill="1" applyBorder="1" applyAlignment="1">
      <x:alignment vertical="center"/>
    </x:xf>
    <x:xf numFmtId="0" fontId="4" fillId="0" borderId="11" xfId="0" applyNumberFormat="1" applyFont="1" applyFill="1" applyBorder="1" applyAlignment="1">
      <x:alignment vertical="center"/>
    </x:xf>
    <x:xf numFmtId="0" fontId="4" fillId="0" borderId="12" xfId="0" applyNumberFormat="1" applyFont="1" applyFill="1" applyBorder="1" applyAlignment="1">
      <x:alignment vertical="center"/>
    </x:xf>
    <x:xf numFmtId="0" fontId="4" fillId="5" borderId="5" xfId="0" applyNumberFormat="1" applyFont="1" applyFill="1" applyBorder="1" applyAlignment="1">
      <x:alignment vertical="center"/>
    </x:xf>
    <x:xf numFmtId="0" fontId="4" fillId="5" borderId="8" xfId="0" applyNumberFormat="1" applyFont="1" applyFill="1" applyBorder="1" applyAlignment="1">
      <x:alignment vertical="center"/>
    </x:xf>
    <x:xf numFmtId="0" fontId="4" fillId="5" borderId="11" xfId="0" applyNumberFormat="1" applyFont="1" applyFill="1" applyBorder="1" applyAlignment="1">
      <x:alignment vertical="center"/>
    </x:xf>
    <x:xf numFmtId="200" fontId="4" fillId="5" borderId="5" xfId="0" applyNumberFormat="1" applyFont="1" applyFill="1" applyBorder="1" applyAlignment="1">
      <x:alignment vertical="center"/>
    </x:xf>
    <x:xf numFmtId="200" fontId="4" fillId="5" borderId="8" xfId="0" applyNumberFormat="1" applyFont="1" applyFill="1" applyBorder="1" applyAlignment="1">
      <x:alignment vertical="center"/>
    </x:xf>
    <x:xf numFmtId="200" fontId="4" fillId="5" borderId="11" xfId="0" applyNumberFormat="1" applyFont="1" applyFill="1" applyBorder="1" applyAlignment="1">
      <x:alignment vertical="center"/>
    </x:xf>
    <x:xf numFmtId="0" fontId="3" fillId="4" borderId="0" xfId="0" applyNumberFormat="1" applyFont="1" applyFill="1" applyBorder="1" applyAlignment="1">
      <x:alignment horizontal="center"/>
    </x:xf>
    <x:xf numFmtId="0" fontId="0" fillId="5" borderId="0" xfId="0" applyNumberFormat="1" applyFont="1" applyFill="1" applyBorder="1"/>
    <x:xf numFmtId="200" fontId="0" fillId="0" borderId="0" xfId="0" applyNumberFormat="1" applyFont="1" applyFill="1" applyBorder="1"/>
    <x:xf numFmtId="200" fontId="0" fillId="5" borderId="0" xfId="0" applyNumberFormat="1" applyFont="1" applyFill="1" applyBorder="1"/>
    <x:xf numFmtId="0" fontId="2" fillId="3" borderId="0" xfId="0" applyNumberFormat="1" applyFont="1" applyFill="1" applyBorder="1" applyAlignment="1">
      <x:alignment vertical="top" wrapText="1"/>
    </x:xf>
    <x:xf numFmtId="0" fontId="5" fillId="0" borderId="0" xfId="0" applyNumberFormat="1" applyFont="1" applyFill="1" applyBorder="1"/>
    <x:xf numFmtId="200" fontId="5" fillId="0" borderId="0" xfId="0" applyNumberFormat="1" applyFont="1" applyFill="1" applyBorder="1"/>
    <x:xf numFmtId="200" fontId="5" fillId="5" borderId="0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ce937c7d0cd402d" /><Relationship Type="http://schemas.openxmlformats.org/officeDocument/2006/relationships/theme" Target="/xl/theme/theme1.xml" Id="R2c1c1d7cde874219" /><Relationship Type="http://schemas.openxmlformats.org/officeDocument/2006/relationships/sharedStrings" Target="/xl/sharedStrings.xml" Id="R7b618200426546e2" /><Relationship Type="http://schemas.openxmlformats.org/officeDocument/2006/relationships/worksheet" Target="/xl/worksheets/sheet1.xml" Id="Re7601841e1364648" /><Relationship Type="http://schemas.openxmlformats.org/officeDocument/2006/relationships/worksheet" Target="/xl/worksheets/sheet2.xml" Id="R82cfeb404cdc4dae" /><Relationship Type="http://schemas.openxmlformats.org/officeDocument/2006/relationships/worksheet" Target="/xl/worksheets/sheet3.xml" Id="R212a26b4404d4be4" /></Relationships>
</file>

<file path=xl/tables/table1.xml><?xml version="1.0" encoding="utf-8"?>
<x:table xmlns:x="http://schemas.openxmlformats.org/spreadsheetml/2006/main" id="1" name="LocalizationTable" displayName="LocalizationTable" ref="A4:D56" headerRowCount="1" totalsRowCount="0" totalsRowShown="0">
  <x:tableColumns count="4">
    <x:tableColumn id="1" name="key"/>
    <x:tableColumn id="2" name="한국어"/>
    <x:tableColumn id="3" name="English"/>
    <x:tableColumn id="4" name="사용 위치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BalanceTable" displayName="BalanceTable" ref="A4:F110" headerRowCount="1" totalsRowCount="0" totalsRowShown="0">
  <x:tableColumns count="6">
    <x:tableColumn id="1" name="key"/>
    <x:tableColumn id="2" name="분류"/>
    <x:tableColumn id="3" name="값"/>
    <x:tableColumn id="4" name="단위"/>
    <x:tableColumn id="5" name="설명"/>
    <x:tableColumn id="6" name="연결 상태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1c127453a37049b2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87862c51b9794dcd" /></Relationships>
</file>

<file path=xl/worksheets/sheet1.xml><?xml version="1.0" encoding="utf-8"?>
<x:worksheet xmlns:x="http://schemas.openxmlformats.org/spreadsheetml/2006/main">
  <x:sheetPr>
    <x:tabColor rgb="FF17324D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34" hidden="0" customWidth="1"/>
    <x:col min="2" max="2" width="54" hidden="0" customWidth="1"/>
    <x:col min="3" max="3" width="62" hidden="0" customWidth="1"/>
    <x:col min="4" max="4" width="24" hidden="0" customWidth="1"/>
  </x:cols>
  <x:sheetData>
    <x:row r="1" ht="26" customHeight="1">
      <x:c r="A1" s="3" t="str">
        <x:v>오브젝트 헤드 번역</x:v>
      </x:c>
      <x:c r="B1" s="3"/>
      <x:c r="C1" s="3"/>
      <x:c r="D1" s="3"/>
      <x:c r="E1" s="3"/>
      <x:c r="F1" s="3"/>
    </x:row>
    <x:row r="2" ht="26" customHeight="1">
      <x:c r="A2" s="7" t="str">
        <x:v>한국어와 English 열만 수정하세요. key는 코드 연결용이므로 바꾸지 마세요. {0}, {1} 표시는 유지해야 합니다.</x:v>
      </x:c>
      <x:c r="B2" s="7"/>
      <x:c r="C2" s="7"/>
      <x:c r="D2" s="7"/>
      <x:c r="E2" s="7"/>
      <x:c r="F2" s="7"/>
    </x:row>
    <x:row r="4">
      <x:c r="A4" s="16" t="str">
        <x:v>key</x:v>
      </x:c>
      <x:c r="B4" s="17" t="str">
        <x:v>한국어</x:v>
      </x:c>
      <x:c r="C4" s="17" t="str">
        <x:v>English</x:v>
      </x:c>
      <x:c r="D4" s="18" t="str">
        <x:v>사용 위치</x:v>
      </x:c>
    </x:row>
    <x:row r="5" ht="20" customHeight="1">
      <x:c r="A5" s="21" t="str">
        <x:v>game_title</x:v>
      </x:c>
      <x:c r="B5" s="30" t="str">
        <x:v>오브젝트 헤드 배틀</x:v>
      </x:c>
      <x:c r="C5" s="30" t="str">
        <x:v>OBJECT HEAD BATTLE</x:v>
      </x:c>
      <x:c r="D5" s="23" t="str">
        <x:v>타이틀</x:v>
      </x:c>
    </x:row>
    <x:row r="6" ht="20" customHeight="1">
      <x:c r="A6" s="24" t="str">
        <x:v>subtitle</x:v>
      </x:c>
      <x:c r="B6" s="31" t="str">
        <x:v>머리를 던지고, 지형을 바꾸고, 마지막까지 살아남으세요!</x:v>
      </x:c>
      <x:c r="C6" s="31" t="str">
        <x:v>Throw heads, reshape the terrain, and be the last team standing!</x:v>
      </x:c>
      <x:c r="D6" s="26" t="str">
        <x:v>타이틀 설명</x:v>
      </x:c>
    </x:row>
    <x:row r="7" ht="20" customHeight="1">
      <x:c r="A7" s="24" t="str">
        <x:v>language_korean</x:v>
      </x:c>
      <x:c r="B7" s="31" t="str">
        <x:v>한국어</x:v>
      </x:c>
      <x:c r="C7" s="31" t="str">
        <x:v>Korean</x:v>
      </x:c>
      <x:c r="D7" s="26" t="str">
        <x:v>언어 버튼</x:v>
      </x:c>
    </x:row>
    <x:row r="8" ht="20" customHeight="1">
      <x:c r="A8" s="24" t="str">
        <x:v>language_english</x:v>
      </x:c>
      <x:c r="B8" s="31" t="str">
        <x:v>English</x:v>
      </x:c>
      <x:c r="C8" s="31" t="str">
        <x:v>English</x:v>
      </x:c>
      <x:c r="D8" s="26" t="str">
        <x:v>언어 버튼</x:v>
      </x:c>
    </x:row>
    <x:row r="9" ht="20" customHeight="1">
      <x:c r="A9" s="24" t="str">
        <x:v>nickname_label</x:v>
      </x:c>
      <x:c r="B9" s="31" t="str">
        <x:v>닉네임</x:v>
      </x:c>
      <x:c r="C9" s="31" t="str">
        <x:v>Nickname</x:v>
      </x:c>
      <x:c r="D9" s="26" t="str">
        <x:v>닉네임 항목</x:v>
      </x:c>
    </x:row>
    <x:row r="10" ht="20" customHeight="1">
      <x:c r="A10" s="24" t="str">
        <x:v>nickname_placeholder</x:v>
      </x:c>
      <x:c r="B10" s="31" t="str">
        <x:v>닉네임을 입력하세요</x:v>
      </x:c>
      <x:c r="C10" s="31" t="str">
        <x:v>Enter nickname</x:v>
      </x:c>
      <x:c r="D10" s="26" t="str">
        <x:v>닉네임 입력 안내</x:v>
      </x:c>
    </x:row>
    <x:row r="11" ht="20" customHeight="1">
      <x:c r="A11" s="24" t="str">
        <x:v>room_size_label</x:v>
      </x:c>
      <x:c r="B11" s="31" t="str">
        <x:v>방 인원</x:v>
      </x:c>
      <x:c r="C11" s="31" t="str">
        <x:v>Room size</x:v>
      </x:c>
      <x:c r="D11" s="26" t="str">
        <x:v>방 생성 인원</x:v>
      </x:c>
    </x:row>
    <x:row r="12" ht="20" customHeight="1">
      <x:c r="A12" s="24" t="str">
        <x:v>room_size_value</x:v>
      </x:c>
      <x:c r="B12" s="31" t="str">
        <x:v>{0}인</x:v>
      </x:c>
      <x:c r="C12" s="31" t="str">
        <x:v>{0} players</x:v>
      </x:c>
      <x:c r="D12" s="26" t="str">
        <x:v>인원 표시</x:v>
      </x:c>
    </x:row>
    <x:row r="13" ht="20" customHeight="1">
      <x:c r="A13" s="24" t="str">
        <x:v>create_room</x:v>
      </x:c>
      <x:c r="B13" s="31" t="str">
        <x:v>방 만들기</x:v>
      </x:c>
      <x:c r="C13" s="31" t="str">
        <x:v>Create room</x:v>
      </x:c>
      <x:c r="D13" s="26" t="str">
        <x:v>방 생성 버튼</x:v>
      </x:c>
    </x:row>
    <x:row r="14" ht="20" customHeight="1">
      <x:c r="A14" s="24" t="str">
        <x:v>quick_match_title</x:v>
      </x:c>
      <x:c r="B14" s="31" t="str">
        <x:v>빠른 랜덤 매칭</x:v>
      </x:c>
      <x:c r="C14" s="31" t="str">
        <x:v>Quick matchmaking</x:v>
      </x:c>
      <x:c r="D14" s="26" t="str">
        <x:v>랜덤 매칭 제목</x:v>
      </x:c>
    </x:row>
    <x:row r="15" ht="20" customHeight="1">
      <x:c r="A15" s="24" t="str">
        <x:v>quick_match_2</x:v>
      </x:c>
      <x:c r="B15" s="31" t="str">
        <x:v>2인</x:v>
      </x:c>
      <x:c r="C15" s="31" t="str">
        <x:v>2 players</x:v>
      </x:c>
      <x:c r="D15" s="26" t="str">
        <x:v>2인 매칭</x:v>
      </x:c>
    </x:row>
    <x:row r="16" ht="20" customHeight="1">
      <x:c r="A16" s="24" t="str">
        <x:v>quick_match_3</x:v>
      </x:c>
      <x:c r="B16" s="31" t="str">
        <x:v>3인</x:v>
      </x:c>
      <x:c r="C16" s="31" t="str">
        <x:v>3 players</x:v>
      </x:c>
      <x:c r="D16" s="26" t="str">
        <x:v>3인 매칭</x:v>
      </x:c>
    </x:row>
    <x:row r="17" ht="20" customHeight="1">
      <x:c r="A17" s="24" t="str">
        <x:v>quick_match_4</x:v>
      </x:c>
      <x:c r="B17" s="31" t="str">
        <x:v>4인</x:v>
      </x:c>
      <x:c r="C17" s="31" t="str">
        <x:v>4 players</x:v>
      </x:c>
      <x:c r="D17" s="26" t="str">
        <x:v>4인 매칭</x:v>
      </x:c>
    </x:row>
    <x:row r="18" ht="20" customHeight="1">
      <x:c r="A18" s="24" t="str">
        <x:v>join_title</x:v>
      </x:c>
      <x:c r="B18" s="31" t="str">
        <x:v>방 코드로 참가</x:v>
      </x:c>
      <x:c r="C18" s="31" t="str">
        <x:v>Join with room code</x:v>
      </x:c>
      <x:c r="D18" s="26" t="str">
        <x:v>방 참가 제목</x:v>
      </x:c>
    </x:row>
    <x:row r="19" ht="20" customHeight="1">
      <x:c r="A19" s="24" t="str">
        <x:v>room_code_placeholder</x:v>
      </x:c>
      <x:c r="B19" s="31" t="str">
        <x:v>6자리 방 코드</x:v>
      </x:c>
      <x:c r="C19" s="31" t="str">
        <x:v>6-character room code</x:v>
      </x:c>
      <x:c r="D19" s="26" t="str">
        <x:v>방 코드 입력 안내</x:v>
      </x:c>
    </x:row>
    <x:row r="20" ht="20" customHeight="1">
      <x:c r="A20" s="24" t="str">
        <x:v>join_room</x:v>
      </x:c>
      <x:c r="B20" s="31" t="str">
        <x:v>참가</x:v>
      </x:c>
      <x:c r="C20" s="31" t="str">
        <x:v>Join</x:v>
      </x:c>
      <x:c r="D20" s="26" t="str">
        <x:v>방 참가 버튼</x:v>
      </x:c>
    </x:row>
    <x:row r="21" ht="20" customHeight="1">
      <x:c r="A21" s="24" t="str">
        <x:v>cancel_matchmaking</x:v>
      </x:c>
      <x:c r="B21" s="31" t="str">
        <x:v>매칭 취소</x:v>
      </x:c>
      <x:c r="C21" s="31" t="str">
        <x:v>Cancel matchmaking</x:v>
      </x:c>
      <x:c r="D21" s="26" t="str">
        <x:v>매칭 취소 버튼</x:v>
      </x:c>
    </x:row>
    <x:row r="22" ht="20" customHeight="1">
      <x:c r="A22" s="24" t="str">
        <x:v>connection_hint</x:v>
      </x:c>
      <x:c r="B22" s="31" t="str">
        <x:v>서버 연결은 메뉴 선택 시 자동으로 진행됩니다.</x:v>
      </x:c>
      <x:c r="C22" s="31" t="str">
        <x:v>The game connects to the server automatically.</x:v>
      </x:c>
      <x:c r="D22" s="26" t="str">
        <x:v>연결 안내</x:v>
      </x:c>
    </x:row>
    <x:row r="23" ht="20" customHeight="1">
      <x:c r="A23" s="24" t="str">
        <x:v>lobby_host_title</x:v>
      </x:c>
      <x:c r="B23" s="31" t="str">
        <x:v>방 로비 · 방장</x:v>
      </x:c>
      <x:c r="C23" s="31" t="str">
        <x:v>ROOM LOBBY · HOST</x:v>
      </x:c>
      <x:c r="D23" s="26" t="str">
        <x:v>방장 로비 제목</x:v>
      </x:c>
    </x:row>
    <x:row r="24" ht="20" customHeight="1">
      <x:c r="A24" s="24" t="str">
        <x:v>lobby_guest_title</x:v>
      </x:c>
      <x:c r="B24" s="31" t="str">
        <x:v>방 로비</x:v>
      </x:c>
      <x:c r="C24" s="31" t="str">
        <x:v>ROOM LOBBY</x:v>
      </x:c>
      <x:c r="D24" s="26" t="str">
        <x:v>참가자 로비 제목</x:v>
      </x:c>
    </x:row>
    <x:row r="25" ht="20" customHeight="1">
      <x:c r="A25" s="24" t="str">
        <x:v>room_code_value</x:v>
      </x:c>
      <x:c r="B25" s="31" t="str">
        <x:v>방 코드: {0}</x:v>
      </x:c>
      <x:c r="C25" s="31" t="str">
        <x:v>Room code: {0}</x:v>
      </x:c>
      <x:c r="D25" s="26" t="str">
        <x:v>방 코드 표시</x:v>
      </x:c>
    </x:row>
    <x:row r="26" ht="20" customHeight="1">
      <x:c r="A26" s="24" t="str">
        <x:v>player_count_value</x:v>
      </x:c>
      <x:c r="B26" s="31" t="str">
        <x:v>참가자 {0}/{1}</x:v>
      </x:c>
      <x:c r="C26" s="31" t="str">
        <x:v>Players {0}/{1}</x:v>
      </x:c>
      <x:c r="D26" s="26" t="str">
        <x:v>참가 인원 표시</x:v>
      </x:c>
    </x:row>
    <x:row r="27" ht="20" customHeight="1">
      <x:c r="A27" s="24" t="str">
        <x:v>room_settings</x:v>
      </x:c>
      <x:c r="B27" s="31" t="str">
        <x:v>방 설정</x:v>
      </x:c>
      <x:c r="C27" s="31" t="str">
        <x:v>Room settings</x:v>
      </x:c>
      <x:c r="D27" s="26" t="str">
        <x:v>방 설정 제목</x:v>
      </x:c>
    </x:row>
    <x:row r="28" ht="20" customHeight="1">
      <x:c r="A28" s="24" t="str">
        <x:v>map_fixed</x:v>
      </x:c>
      <x:c r="B28" s="31" t="str">
        <x:v>고정 맵</x:v>
      </x:c>
      <x:c r="C28" s="31" t="str">
        <x:v>Fixed map</x:v>
      </x:c>
      <x:c r="D28" s="26" t="str">
        <x:v>고정 맵 선택</x:v>
      </x:c>
    </x:row>
    <x:row r="29" ht="20" customHeight="1">
      <x:c r="A29" s="24" t="str">
        <x:v>map_random</x:v>
      </x:c>
      <x:c r="B29" s="31" t="str">
        <x:v>랜덤 맵</x:v>
      </x:c>
      <x:c r="C29" s="31" t="str">
        <x:v>Random map</x:v>
      </x:c>
      <x:c r="D29" s="26" t="str">
        <x:v>랜덤 맵 선택</x:v>
      </x:c>
    </x:row>
    <x:row r="30" ht="20" customHeight="1">
      <x:c r="A30" s="24" t="str">
        <x:v>toggle_map_mode</x:v>
      </x:c>
      <x:c r="B30" s="31" t="str">
        <x:v>맵 선택 전환</x:v>
      </x:c>
      <x:c r="C30" s="31" t="str">
        <x:v>Toggle map selection</x:v>
      </x:c>
      <x:c r="D30" s="26" t="str">
        <x:v>맵 선택 전환 버튼</x:v>
      </x:c>
    </x:row>
    <x:row r="31" ht="20" customHeight="1">
      <x:c r="A31" s="24" t="str">
        <x:v>apply_settings</x:v>
      </x:c>
      <x:c r="B31" s="31" t="str">
        <x:v>설정 적용</x:v>
      </x:c>
      <x:c r="C31" s="31" t="str">
        <x:v>Apply settings</x:v>
      </x:c>
      <x:c r="D31" s="26" t="str">
        <x:v>설정 적용 버튼</x:v>
      </x:c>
    </x:row>
    <x:row r="32" ht="20" customHeight="1">
      <x:c r="A32" s="24" t="str">
        <x:v>copy_room_code</x:v>
      </x:c>
      <x:c r="B32" s="31" t="str">
        <x:v>코드 복사</x:v>
      </x:c>
      <x:c r="C32" s="31" t="str">
        <x:v>Copy code</x:v>
      </x:c>
      <x:c r="D32" s="26" t="str">
        <x:v>코드 복사 버튼</x:v>
      </x:c>
    </x:row>
    <x:row r="33" ht="20" customHeight="1">
      <x:c r="A33" s="24" t="str">
        <x:v>ready</x:v>
      </x:c>
      <x:c r="B33" s="31" t="str">
        <x:v>준비</x:v>
      </x:c>
      <x:c r="C33" s="31" t="str">
        <x:v>Ready</x:v>
      </x:c>
      <x:c r="D33" s="26" t="str">
        <x:v>준비 버튼</x:v>
      </x:c>
    </x:row>
    <x:row r="34" ht="20" customHeight="1">
      <x:c r="A34" s="24" t="str">
        <x:v>cancel_ready</x:v>
      </x:c>
      <x:c r="B34" s="31" t="str">
        <x:v>준비 취소</x:v>
      </x:c>
      <x:c r="C34" s="31" t="str">
        <x:v>Cancel ready</x:v>
      </x:c>
      <x:c r="D34" s="26" t="str">
        <x:v>준비 취소 버튼</x:v>
      </x:c>
    </x:row>
    <x:row r="35" ht="20" customHeight="1">
      <x:c r="A35" s="24" t="str">
        <x:v>start_game</x:v>
      </x:c>
      <x:c r="B35" s="31" t="str">
        <x:v>게임 시작</x:v>
      </x:c>
      <x:c r="C35" s="31" t="str">
        <x:v>Start game</x:v>
      </x:c>
      <x:c r="D35" s="26" t="str">
        <x:v>시작 버튼</x:v>
      </x:c>
    </x:row>
    <x:row r="36" ht="20" customHeight="1">
      <x:c r="A36" s="24" t="str">
        <x:v>leave_room</x:v>
      </x:c>
      <x:c r="B36" s="31" t="str">
        <x:v>나가기</x:v>
      </x:c>
      <x:c r="C36" s="31" t="str">
        <x:v>Leave</x:v>
      </x:c>
      <x:c r="D36" s="26" t="str">
        <x:v>방 나가기 버튼</x:v>
      </x:c>
    </x:row>
    <x:row r="37" ht="20" customHeight="1">
      <x:c r="A37" s="24" t="str">
        <x:v>waiting_for_players</x:v>
      </x:c>
      <x:c r="B37" s="31" t="str">
        <x:v>참가자를 기다리는 중...</x:v>
      </x:c>
      <x:c r="C37" s="31" t="str">
        <x:v>Waiting for players...</x:v>
      </x:c>
      <x:c r="D37" s="26" t="str">
        <x:v>로비 대기</x:v>
      </x:c>
    </x:row>
    <x:row r="38" ht="20" customHeight="1">
      <x:c r="A38" s="24" t="str">
        <x:v>host_mark</x:v>
      </x:c>
      <x:c r="B38" s="31" t="str">
        <x:v>[방장]</x:v>
      </x:c>
      <x:c r="C38" s="31" t="str">
        <x:v>[HOST]</x:v>
      </x:c>
      <x:c r="D38" s="26" t="str">
        <x:v>방장 표시</x:v>
      </x:c>
    </x:row>
    <x:row r="39" ht="20" customHeight="1">
      <x:c r="A39" s="24" t="str">
        <x:v>ready_state</x:v>
      </x:c>
      <x:c r="B39" s="31" t="str">
        <x:v>준비 완료</x:v>
      </x:c>
      <x:c r="C39" s="31" t="str">
        <x:v>READY</x:v>
      </x:c>
      <x:c r="D39" s="26" t="str">
        <x:v>준비 상태</x:v>
      </x:c>
    </x:row>
    <x:row r="40" ht="20" customHeight="1">
      <x:c r="A40" s="24" t="str">
        <x:v>not_ready_state</x:v>
      </x:c>
      <x:c r="B40" s="31" t="str">
        <x:v>준비 전</x:v>
      </x:c>
      <x:c r="C40" s="31" t="str">
        <x:v>NOT READY</x:v>
      </x:c>
      <x:c r="D40" s="26" t="str">
        <x:v>미준비 상태</x:v>
      </x:c>
    </x:row>
    <x:row r="41" ht="20" customHeight="1">
      <x:c r="A41" s="24" t="str">
        <x:v>status_offline</x:v>
      </x:c>
      <x:c r="B41" s="31" t="str">
        <x:v>메뉴를 선택하면 서버에 연결됩니다.</x:v>
      </x:c>
      <x:c r="C41" s="31" t="str">
        <x:v>Choose a menu option to connect.</x:v>
      </x:c>
      <x:c r="D41" s="26" t="str">
        <x:v>연결 전 상태</x:v>
      </x:c>
    </x:row>
    <x:row r="42" ht="20" customHeight="1">
      <x:c r="A42" s="24" t="str">
        <x:v>status_connecting</x:v>
      </x:c>
      <x:c r="B42" s="31" t="str">
        <x:v>서버에 연결하는 중...</x:v>
      </x:c>
      <x:c r="C42" s="31" t="str">
        <x:v>Connecting to server...</x:v>
      </x:c>
      <x:c r="D42" s="26" t="str">
        <x:v>연결 중 상태</x:v>
      </x:c>
    </x:row>
    <x:row r="43" ht="20" customHeight="1">
      <x:c r="A43" s="24" t="str">
        <x:v>status_connected</x:v>
      </x:c>
      <x:c r="B43" s="31" t="str">
        <x:v>서버에 연결되었습니다.</x:v>
      </x:c>
      <x:c r="C43" s="31" t="str">
        <x:v>Connected to server.</x:v>
      </x:c>
      <x:c r="D43" s="26" t="str">
        <x:v>연결 완료 상태</x:v>
      </x:c>
    </x:row>
    <x:row r="44" ht="20" customHeight="1">
      <x:c r="A44" s="24" t="str">
        <x:v>status_matching</x:v>
      </x:c>
      <x:c r="B44" s="31" t="str">
        <x:v>{0}인 매칭 상대를 찾는 중...</x:v>
      </x:c>
      <x:c r="C44" s="31" t="str">
        <x:v>Searching for a {0}-player match...</x:v>
      </x:c>
      <x:c r="D44" s="26" t="str">
        <x:v>매칭 중 상태</x:v>
      </x:c>
    </x:row>
    <x:row r="45" ht="20" customHeight="1">
      <x:c r="A45" s="24" t="str">
        <x:v>status_cancelling</x:v>
      </x:c>
      <x:c r="B45" s="31" t="str">
        <x:v>매칭을 취소하는 중...</x:v>
      </x:c>
      <x:c r="C45" s="31" t="str">
        <x:v>Cancelling matchmaking...</x:v>
      </x:c>
      <x:c r="D45" s="26" t="str">
        <x:v>매칭 취소 중</x:v>
      </x:c>
    </x:row>
    <x:row r="46" ht="20" customHeight="1">
      <x:c r="A46" s="24" t="str">
        <x:v>status_room_created</x:v>
      </x:c>
      <x:c r="B46" s="31" t="str">
        <x:v>방을 만들었습니다. 방 코드를 친구에게 알려주세요!</x:v>
      </x:c>
      <x:c r="C46" s="31" t="str">
        <x:v>Room created. Share the room code!</x:v>
      </x:c>
      <x:c r="D46" s="26" t="str">
        <x:v>방 생성 완료</x:v>
      </x:c>
    </x:row>
    <x:row r="47" ht="20" customHeight="1">
      <x:c r="A47" s="24" t="str">
        <x:v>status_joined_room</x:v>
      </x:c>
      <x:c r="B47" s="31" t="str">
        <x:v>방에 참가했습니다.</x:v>
      </x:c>
      <x:c r="C47" s="31" t="str">
        <x:v>Joined the room.</x:v>
      </x:c>
      <x:c r="D47" s="26" t="str">
        <x:v>방 참가 완료</x:v>
      </x:c>
    </x:row>
    <x:row r="48" ht="20" customHeight="1">
      <x:c r="A48" s="24" t="str">
        <x:v>status_in_lobby</x:v>
      </x:c>
      <x:c r="B48" s="31" t="str">
        <x:v>방 로비에 입장했습니다.</x:v>
      </x:c>
      <x:c r="C48" s="31" t="str">
        <x:v>Entered the room lobby.</x:v>
      </x:c>
      <x:c r="D48" s="26" t="str">
        <x:v>로비 입장 완료</x:v>
      </x:c>
    </x:row>
    <x:row r="49" ht="20" customHeight="1">
      <x:c r="A49" s="24" t="str">
        <x:v>status_room_code_required</x:v>
      </x:c>
      <x:c r="B49" s="31" t="str">
        <x:v>방 코드를 입력해주세요.</x:v>
      </x:c>
      <x:c r="C49" s="31" t="str">
        <x:v>Enter a room code.</x:v>
      </x:c>
      <x:c r="D49" s="26" t="str">
        <x:v>방 코드 누락</x:v>
      </x:c>
    </x:row>
    <x:row r="50" ht="20" customHeight="1">
      <x:c r="A50" s="24" t="str">
        <x:v>status_room_code_copied</x:v>
      </x:c>
      <x:c r="B50" s="31" t="str">
        <x:v>방 코드를 복사했습니다.</x:v>
      </x:c>
      <x:c r="C50" s="31" t="str">
        <x:v>Room code copied.</x:v>
      </x:c>
      <x:c r="D50" s="26" t="str">
        <x:v>방 코드 복사 완료</x:v>
      </x:c>
    </x:row>
    <x:row r="51" ht="20" customHeight="1">
      <x:c r="A51" s="24" t="str">
        <x:v>status_applying_settings</x:v>
      </x:c>
      <x:c r="B51" s="31" t="str">
        <x:v>방 설정을 적용하는 중...</x:v>
      </x:c>
      <x:c r="C51" s="31" t="str">
        <x:v>Applying room settings...</x:v>
      </x:c>
      <x:c r="D51" s="26" t="str">
        <x:v>방 설정 적용 중</x:v>
      </x:c>
    </x:row>
    <x:row r="52" ht="20" customHeight="1">
      <x:c r="A52" s="24" t="str">
        <x:v>status_readying</x:v>
      </x:c>
      <x:c r="B52" s="31" t="str">
        <x:v>준비 상태로 변경하는 중...</x:v>
      </x:c>
      <x:c r="C52" s="31" t="str">
        <x:v>Setting ready...</x:v>
      </x:c>
      <x:c r="D52" s="26" t="str">
        <x:v>준비 처리 중</x:v>
      </x:c>
    </x:row>
    <x:row r="53" ht="20" customHeight="1">
      <x:c r="A53" s="24" t="str">
        <x:v>status_unreadying</x:v>
      </x:c>
      <x:c r="B53" s="31" t="str">
        <x:v>준비를 취소하는 중...</x:v>
      </x:c>
      <x:c r="C53" s="31" t="str">
        <x:v>Cancelling ready...</x:v>
      </x:c>
      <x:c r="D53" s="26" t="str">
        <x:v>준비 취소 중</x:v>
      </x:c>
    </x:row>
    <x:row r="54" ht="20" customHeight="1">
      <x:c r="A54" s="24" t="str">
        <x:v>status_starting_game</x:v>
      </x:c>
      <x:c r="B54" s="31" t="str">
        <x:v>게임을 시작하는 중...</x:v>
      </x:c>
      <x:c r="C54" s="31" t="str">
        <x:v>Starting game...</x:v>
      </x:c>
      <x:c r="D54" s="26" t="str">
        <x:v>게임 시작 중</x:v>
      </x:c>
    </x:row>
    <x:row r="55" ht="20" customHeight="1">
      <x:c r="A55" s="24" t="str">
        <x:v>status_leaving_room</x:v>
      </x:c>
      <x:c r="B55" s="31" t="str">
        <x:v>방에서 나가는 중...</x:v>
      </x:c>
      <x:c r="C55" s="31" t="str">
        <x:v>Leaving room...</x:v>
      </x:c>
      <x:c r="D55" s="26" t="str">
        <x:v>방 나가기 중</x:v>
      </x:c>
    </x:row>
    <x:row r="56" ht="20" customHeight="1">
      <x:c r="A56" s="27" t="str">
        <x:v>status_error</x:v>
      </x:c>
      <x:c r="B56" s="32" t="str">
        <x:v>오류가 발생했습니다.</x:v>
      </x:c>
      <x:c r="C56" s="32" t="str">
        <x:v>An error occurred.</x:v>
      </x:c>
      <x:c r="D56" s="29" t="str">
        <x:v>오류 상태</x:v>
      </x:c>
    </x:row>
  </x:sheetData>
  <x:mergeCells>
    <x:mergeCell ref="A1:F1"/>
    <x:mergeCell ref="A2:F2"/>
  </x:mergeCells>
  <x:pageMargins left="0.7" right="0.7" top="0.75" bottom="0.75" header="0.3" footer="0.3"/>
  <x:tableParts count="1">
    <x:tablePart xmlns:r="http://schemas.openxmlformats.org/officeDocument/2006/relationships" r:id="R1c127453a37049b2"/>
  </x:tableParts>
</x:worksheet>
</file>

<file path=xl/worksheets/sheet2.xml><?xml version="1.0" encoding="utf-8"?>
<x:worksheet xmlns:x="http://schemas.openxmlformats.org/spreadsheetml/2006/main">
  <x:sheetPr>
    <x:tabColor rgb="FF3B82A0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40" hidden="0" customWidth="1"/>
    <x:col min="2" max="2" width="20" hidden="0" customWidth="1"/>
    <x:col min="3" max="3" width="14" hidden="0" customWidth="1"/>
    <x:col min="4" max="4" width="16" hidden="0" customWidth="1"/>
    <x:col min="5" max="5" width="38" hidden="0" customWidth="1"/>
    <x:col min="6" max="6" width="14" hidden="0" customWidth="1"/>
  </x:cols>
  <x:sheetData>
    <x:row r="1" ht="26" customHeight="1">
      <x:c r="A1" s="3" t="str">
        <x:v>오브젝트 헤드 수치</x:v>
      </x:c>
      <x:c r="B1" s="3"/>
      <x:c r="C1" s="3"/>
      <x:c r="D1" s="3"/>
      <x:c r="E1" s="3"/>
      <x:c r="F1" s="3"/>
    </x:row>
    <x:row r="2" ht="26" customHeight="1">
      <x:c r="A2" s="7" t="str">
        <x:v>값 열만 수정하면 Unity 데이터가 갱신됩니다. key와 단위는 바꾸지 않는 것을 권장합니다. 빈 값은 아직 구현되지 않은 항목입니다.</x:v>
      </x:c>
      <x:c r="B2" s="7"/>
      <x:c r="C2" s="7"/>
      <x:c r="D2" s="7"/>
      <x:c r="E2" s="7"/>
      <x:c r="F2" s="7"/>
    </x:row>
    <x:row r="4">
      <x:c r="A4" s="16" t="str">
        <x:v>key</x:v>
      </x:c>
      <x:c r="B4" s="17" t="str">
        <x:v>분류</x:v>
      </x:c>
      <x:c r="C4" s="17" t="str">
        <x:v>값</x:v>
      </x:c>
      <x:c r="D4" s="17" t="str">
        <x:v>단위</x:v>
      </x:c>
      <x:c r="E4" s="17" t="str">
        <x:v>설명</x:v>
      </x:c>
      <x:c r="F4" s="18" t="str">
        <x:v>연결 상태</x:v>
      </x:c>
    </x:row>
    <x:row r="5" ht="20" customHeight="1">
      <x:c r="A5" s="21" t="str">
        <x:v>turn.duration_seconds</x:v>
      </x:c>
      <x:c r="B5" s="30" t="str">
        <x:v>턴</x:v>
      </x:c>
      <x:c r="C5" s="33" t="n">
        <x:v>30</x:v>
      </x:c>
      <x:c r="D5" s="22" t="str">
        <x:v>초</x:v>
      </x:c>
      <x:c r="E5" s="22" t="str">
        <x:v>기본 행동 시간</x:v>
      </x:c>
      <x:c r="F5" s="23" t="str">
        <x:v>연결</x:v>
      </x:c>
    </x:row>
    <x:row r="6" ht="20" customHeight="1">
      <x:c r="A6" s="24" t="str">
        <x:v>turn.residual_movement_seconds</x:v>
      </x:c>
      <x:c r="B6" s="31" t="str">
        <x:v>턴</x:v>
      </x:c>
      <x:c r="C6" s="34" t="n">
        <x:v>5</x:v>
      </x:c>
      <x:c r="D6" s="25" t="str">
        <x:v>초</x:v>
      </x:c>
      <x:c r="E6" s="25" t="str">
        <x:v>공격 후 잔여 이동 시간</x:v>
      </x:c>
      <x:c r="F6" s="26" t="str">
        <x:v>연결</x:v>
      </x:c>
    </x:row>
    <x:row r="7" ht="20" customHeight="1">
      <x:c r="A7" s="24" t="str">
        <x:v>turn.damage_settlement_seconds</x:v>
      </x:c>
      <x:c r="B7" s="31" t="str">
        <x:v>턴</x:v>
      </x:c>
      <x:c r="C7" s="34" t="n">
        <x:v>1</x:v>
      </x:c>
      <x:c r="D7" s="25" t="str">
        <x:v>초</x:v>
      </x:c>
      <x:c r="E7" s="25" t="str">
        <x:v>피해 정산 대기 시간</x:v>
      </x:c>
      <x:c r="F7" s="26" t="str">
        <x:v>연결</x:v>
      </x:c>
    </x:row>
    <x:row r="8" ht="20" customHeight="1">
      <x:c r="A8" s="24" t="str">
        <x:v>charge.duration_seconds</x:v>
      </x:c>
      <x:c r="B8" s="31" t="str">
        <x:v>투척</x:v>
      </x:c>
      <x:c r="C8" s="34" t="n">
        <x:v>1.2</x:v>
      </x:c>
      <x:c r="D8" s="25" t="str">
        <x:v>초</x:v>
      </x:c>
      <x:c r="E8" s="25" t="str">
        <x:v>최대 차징까지 걸리는 시간</x:v>
      </x:c>
      <x:c r="F8" s="26" t="str">
        <x:v>연결</x:v>
      </x:c>
    </x:row>
    <x:row r="9" ht="20" customHeight="1">
      <x:c r="A9" s="24" t="str">
        <x:v>charge.minimum_power</x:v>
      </x:c>
      <x:c r="B9" s="31" t="str">
        <x:v>투척</x:v>
      </x:c>
      <x:c r="C9" s="34" t="n">
        <x:v>0.1</x:v>
      </x:c>
      <x:c r="D9" s="25" t="str">
        <x:v>0~1</x:v>
      </x:c>
      <x:c r="E9" s="25" t="str">
        <x:v>최소 발사 파워</x:v>
      </x:c>
      <x:c r="F9" s="26" t="str">
        <x:v>연결</x:v>
      </x:c>
    </x:row>
    <x:row r="10" ht="20" customHeight="1">
      <x:c r="A10" s="24" t="str">
        <x:v>throw.max_speed_px_per_second</x:v>
      </x:c>
      <x:c r="B10" s="31" t="str">
        <x:v>투척</x:v>
      </x:c>
      <x:c r="C10" s="34" t="n">
        <x:v>1200</x:v>
      </x:c>
      <x:c r="D10" s="25" t="str">
        <x:v>px/s</x:v>
      </x:c>
      <x:c r="E10" s="25" t="str">
        <x:v>최대 투척 속도 기준값</x:v>
      </x:c>
      <x:c r="F10" s="26" t="str">
        <x:v>연결</x:v>
      </x:c>
    </x:row>
    <x:row r="11" ht="20" customHeight="1">
      <x:c r="A11" s="24" t="str">
        <x:v>throw.speed_multiplier</x:v>
      </x:c>
      <x:c r="B11" s="31" t="str">
        <x:v>투척</x:v>
      </x:c>
      <x:c r="C11" s="34" t="n">
        <x:v>0.5</x:v>
      </x:c>
      <x:c r="D11" s="25" t="str">
        <x:v>배</x:v>
      </x:c>
      <x:c r="E11" s="25" t="str">
        <x:v>투척 속도 배율</x:v>
      </x:c>
      <x:c r="F11" s="26" t="str">
        <x:v>연결</x:v>
      </x:c>
    </x:row>
    <x:row r="12" ht="20" customHeight="1">
      <x:c r="A12" s="24" t="str">
        <x:v>throw.fallback_pixels_per_unit</x:v>
      </x:c>
      <x:c r="B12" s="31" t="str">
        <x:v>투척</x:v>
      </x:c>
      <x:c r="C12" s="34" t="n">
        <x:v>100</x:v>
      </x:c>
      <x:c r="D12" s="25" t="str">
        <x:v>px/unit</x:v>
      </x:c>
      <x:c r="E12" s="25" t="str">
        <x:v>TerrainManager가 없을 때 환산값</x:v>
      </x:c>
      <x:c r="F12" s="26" t="str">
        <x:v>연결</x:v>
      </x:c>
    </x:row>
    <x:row r="13" ht="20" customHeight="1">
      <x:c r="A13" s="24" t="str">
        <x:v>character.move_speed</x:v>
      </x:c>
      <x:c r="B13" s="31" t="str">
        <x:v>캐릭터</x:v>
      </x:c>
      <x:c r="C13" s="34" t="n">
        <x:v>3.5</x:v>
      </x:c>
      <x:c r="D13" s="25" t="str">
        <x:v>unit/s</x:v>
      </x:c>
      <x:c r="E13" s="25" t="str">
        <x:v>공통 이동 속도</x:v>
      </x:c>
      <x:c r="F13" s="26" t="str">
        <x:v>연결</x:v>
      </x:c>
    </x:row>
    <x:row r="14" ht="20" customHeight="1">
      <x:c r="A14" s="24" t="str">
        <x:v>character.jump_force</x:v>
      </x:c>
      <x:c r="B14" s="31" t="str">
        <x:v>캐릭터</x:v>
      </x:c>
      <x:c r="C14" s="34" t="n">
        <x:v>6</x:v>
      </x:c>
      <x:c r="D14" s="25" t="str">
        <x:v>unit/s</x:v>
      </x:c>
      <x:c r="E14" s="25" t="str">
        <x:v>공통 점프 속도</x:v>
      </x:c>
      <x:c r="F14" s="26" t="str">
        <x:v>연결</x:v>
      </x:c>
    </x:row>
    <x:row r="15" ht="20" customHeight="1">
      <x:c r="A15" s="24" t="str">
        <x:v>character.bulb.max_hp</x:v>
      </x:c>
      <x:c r="B15" s="31" t="str">
        <x:v>캐릭터</x:v>
      </x:c>
      <x:c r="C15" s="34" t="n">
        <x:v>85</x:v>
      </x:c>
      <x:c r="D15" s="25" t="str">
        <x:v>HP</x:v>
      </x:c>
      <x:c r="E15" s="25" t="str">
        <x:v>전구 최대 체력</x:v>
      </x:c>
      <x:c r="F15" s="26" t="str">
        <x:v>연결</x:v>
      </x:c>
    </x:row>
    <x:row r="16" ht="20" customHeight="1">
      <x:c r="A16" s="24" t="str">
        <x:v>character.bulb.throw_power</x:v>
      </x:c>
      <x:c r="B16" s="31" t="str">
        <x:v>캐릭터</x:v>
      </x:c>
      <x:c r="C16" s="34" t="n">
        <x:v>1.15</x:v>
      </x:c>
      <x:c r="D16" s="25" t="str">
        <x:v>배</x:v>
      </x:c>
      <x:c r="E16" s="25" t="str">
        <x:v>전구 투척 파워</x:v>
      </x:c>
      <x:c r="F16" s="26" t="str">
        <x:v>연결</x:v>
      </x:c>
    </x:row>
    <x:row r="17" ht="20" customHeight="1">
      <x:c r="A17" s="24" t="str">
        <x:v>character.bulb.knockback_resistance</x:v>
      </x:c>
      <x:c r="B17" s="31" t="str">
        <x:v>캐릭터</x:v>
      </x:c>
      <x:c r="C17" s="34" t="n">
        <x:v>0.75</x:v>
      </x:c>
      <x:c r="D17" s="25" t="str">
        <x:v>배</x:v>
      </x:c>
      <x:c r="E17" s="25" t="str">
        <x:v>전구 넉백 저항</x:v>
      </x:c>
      <x:c r="F17" s="26" t="str">
        <x:v>연결</x:v>
      </x:c>
    </x:row>
    <x:row r="18" ht="20" customHeight="1">
      <x:c r="A18" s="24" t="str">
        <x:v>character.seed.max_hp</x:v>
      </x:c>
      <x:c r="B18" s="31" t="str">
        <x:v>캐릭터</x:v>
      </x:c>
      <x:c r="C18" s="34" t="n">
        <x:v>120</x:v>
      </x:c>
      <x:c r="D18" s="25" t="str">
        <x:v>HP</x:v>
      </x:c>
      <x:c r="E18" s="25" t="str">
        <x:v>씨앗 최대 체력</x:v>
      </x:c>
      <x:c r="F18" s="26" t="str">
        <x:v>연결</x:v>
      </x:c>
    </x:row>
    <x:row r="19" ht="20" customHeight="1">
      <x:c r="A19" s="24" t="str">
        <x:v>character.seed.throw_power</x:v>
      </x:c>
      <x:c r="B19" s="31" t="str">
        <x:v>캐릭터</x:v>
      </x:c>
      <x:c r="C19" s="34" t="n">
        <x:v>0.88</x:v>
      </x:c>
      <x:c r="D19" s="25" t="str">
        <x:v>배</x:v>
      </x:c>
      <x:c r="E19" s="25" t="str">
        <x:v>씨앗 투척 파워</x:v>
      </x:c>
      <x:c r="F19" s="26" t="str">
        <x:v>연결</x:v>
      </x:c>
    </x:row>
    <x:row r="20" ht="20" customHeight="1">
      <x:c r="A20" s="24" t="str">
        <x:v>character.seed.knockback_resistance</x:v>
      </x:c>
      <x:c r="B20" s="31" t="str">
        <x:v>캐릭터</x:v>
      </x:c>
      <x:c r="C20" s="34" t="n">
        <x:v>1.25</x:v>
      </x:c>
      <x:c r="D20" s="25" t="str">
        <x:v>배</x:v>
      </x:c>
      <x:c r="E20" s="25" t="str">
        <x:v>씨앗 넉백 저항</x:v>
      </x:c>
      <x:c r="F20" s="26" t="str">
        <x:v>연결</x:v>
      </x:c>
    </x:row>
    <x:row r="21" ht="20" customHeight="1">
      <x:c r="A21" s="24" t="str">
        <x:v>character.bomb.max_hp</x:v>
      </x:c>
      <x:c r="B21" s="31" t="str">
        <x:v>캐릭터</x:v>
      </x:c>
      <x:c r="C21" s="34" t="n">
        <x:v>100</x:v>
      </x:c>
      <x:c r="D21" s="25" t="str">
        <x:v>HP</x:v>
      </x:c>
      <x:c r="E21" s="25" t="str">
        <x:v>폭탄 최대 체력</x:v>
      </x:c>
      <x:c r="F21" s="26" t="str">
        <x:v>연결</x:v>
      </x:c>
    </x:row>
    <x:row r="22" ht="20" customHeight="1">
      <x:c r="A22" s="24" t="str">
        <x:v>character.bomb.throw_power</x:v>
      </x:c>
      <x:c r="B22" s="31" t="str">
        <x:v>캐릭터</x:v>
      </x:c>
      <x:c r="C22" s="34" t="n">
        <x:v>1.1</x:v>
      </x:c>
      <x:c r="D22" s="25" t="str">
        <x:v>배</x:v>
      </x:c>
      <x:c r="E22" s="25" t="str">
        <x:v>폭탄 투척 파워</x:v>
      </x:c>
      <x:c r="F22" s="26" t="str">
        <x:v>연결</x:v>
      </x:c>
    </x:row>
    <x:row r="23" ht="20" customHeight="1">
      <x:c r="A23" s="24" t="str">
        <x:v>character.bomb.knockback_resistance</x:v>
      </x:c>
      <x:c r="B23" s="31" t="str">
        <x:v>캐릭터</x:v>
      </x:c>
      <x:c r="C23" s="34" t="n">
        <x:v>0.9</x:v>
      </x:c>
      <x:c r="D23" s="25" t="str">
        <x:v>배</x:v>
      </x:c>
      <x:c r="E23" s="25" t="str">
        <x:v>폭탄 넉백 저항</x:v>
      </x:c>
      <x:c r="F23" s="26" t="str">
        <x:v>연결</x:v>
      </x:c>
    </x:row>
    <x:row r="24" ht="20" customHeight="1">
      <x:c r="A24" s="24" t="str">
        <x:v>skill.cooldown.1</x:v>
      </x:c>
      <x:c r="B24" s="31" t="str">
        <x:v>스킬</x:v>
      </x:c>
      <x:c r="C24" s="34" t="n">
        <x:v>0</x:v>
      </x:c>
      <x:c r="D24" s="25" t="str">
        <x:v>턴</x:v>
      </x:c>
      <x:c r="E24" s="25" t="str">
        <x:v>1번 스킬 재사용 대기</x:v>
      </x:c>
      <x:c r="F24" s="26" t="str">
        <x:v>연결</x:v>
      </x:c>
    </x:row>
    <x:row r="25" ht="20" customHeight="1">
      <x:c r="A25" s="24" t="str">
        <x:v>skill.cooldown.2</x:v>
      </x:c>
      <x:c r="B25" s="31" t="str">
        <x:v>스킬</x:v>
      </x:c>
      <x:c r="C25" s="34" t="n">
        <x:v>2</x:v>
      </x:c>
      <x:c r="D25" s="25" t="str">
        <x:v>턴</x:v>
      </x:c>
      <x:c r="E25" s="25" t="str">
        <x:v>2번 스킬 재사용 대기</x:v>
      </x:c>
      <x:c r="F25" s="26" t="str">
        <x:v>연결</x:v>
      </x:c>
    </x:row>
    <x:row r="26" ht="20" customHeight="1">
      <x:c r="A26" s="24" t="str">
        <x:v>skill.cooldown.3</x:v>
      </x:c>
      <x:c r="B26" s="31" t="str">
        <x:v>스킬</x:v>
      </x:c>
      <x:c r="C26" s="34" t="n">
        <x:v>3</x:v>
      </x:c>
      <x:c r="D26" s="25" t="str">
        <x:v>턴</x:v>
      </x:c>
      <x:c r="E26" s="25" t="str">
        <x:v>3번 스킬 재사용 대기</x:v>
      </x:c>
      <x:c r="F26" s="26" t="str">
        <x:v>연결</x:v>
      </x:c>
    </x:row>
    <x:row r="27" ht="20" customHeight="1">
      <x:c r="A27" s="24" t="str">
        <x:v>skill.bulb.1.max_damage</x:v>
      </x:c>
      <x:c r="B27" s="31" t="str">
        <x:v>전구 1</x:v>
      </x:c>
      <x:c r="C27" s="34" t="n">
        <x:v>5</x:v>
      </x:c>
      <x:c r="D27" s="25" t="str">
        <x:v>피해</x:v>
      </x:c>
      <x:c r="E27" s="25" t="str">
        <x:v>착탄 피해</x:v>
      </x:c>
      <x:c r="F27" s="26" t="str">
        <x:v>연결</x:v>
      </x:c>
    </x:row>
    <x:row r="28" ht="20" customHeight="1">
      <x:c r="A28" s="24" t="str">
        <x:v>skill.bulb.1.explosion_radius_world</x:v>
      </x:c>
      <x:c r="B28" s="31" t="str">
        <x:v>전구 1</x:v>
      </x:c>
      <x:c r="C28" s="34" t="n">
        <x:v>0.7</x:v>
      </x:c>
      <x:c r="D28" s="25" t="str">
        <x:v>unit</x:v>
      </x:c>
      <x:c r="E28" s="25" t="str">
        <x:v>착탄 반경</x:v>
      </x:c>
      <x:c r="F28" s="26" t="str">
        <x:v>연결</x:v>
      </x:c>
    </x:row>
    <x:row r="29" ht="20" customHeight="1">
      <x:c r="A29" s="24" t="str">
        <x:v>skill.bulb.1.zone_damage_per_turn</x:v>
      </x:c>
      <x:c r="B29" s="31" t="str">
        <x:v>전구 1</x:v>
      </x:c>
      <x:c r="C29" s="34" t="n">
        <x:v>8</x:v>
      </x:c>
      <x:c r="D29" s="25" t="str">
        <x:v>피해/턴</x:v>
      </x:c>
      <x:c r="E29" s="25" t="str">
        <x:v>장판 턴 피해</x:v>
      </x:c>
      <x:c r="F29" s="26" t="str">
        <x:v>연결</x:v>
      </x:c>
    </x:row>
    <x:row r="30" ht="20" customHeight="1">
      <x:c r="A30" s="24" t="str">
        <x:v>skill.bulb.1.zone_duration_rounds</x:v>
      </x:c>
      <x:c r="B30" s="31" t="str">
        <x:v>전구 1</x:v>
      </x:c>
      <x:c r="C30" s="34" t="n">
        <x:v>2</x:v>
      </x:c>
      <x:c r="D30" s="25" t="str">
        <x:v>라운드</x:v>
      </x:c>
      <x:c r="E30" s="25" t="str">
        <x:v>장판 지속</x:v>
      </x:c>
      <x:c r="F30" s="26" t="str">
        <x:v>연결</x:v>
      </x:c>
    </x:row>
    <x:row r="31" ht="20" customHeight="1">
      <x:c r="A31" s="24" t="str">
        <x:v>skill.bulb.1.zone_length_world</x:v>
      </x:c>
      <x:c r="B31" s="31" t="str">
        <x:v>전구 1</x:v>
      </x:c>
      <x:c r="C31" s="34" t="n">
        <x:v>4.5</x:v>
      </x:c>
      <x:c r="D31" s="25" t="str">
        <x:v>unit</x:v>
      </x:c>
      <x:c r="E31" s="25" t="str">
        <x:v>장판 길이</x:v>
      </x:c>
      <x:c r="F31" s="26" t="str">
        <x:v>연결</x:v>
      </x:c>
    </x:row>
    <x:row r="32" ht="20" customHeight="1">
      <x:c r="A32" s="24" t="str">
        <x:v>skill.bulb.1.zone_thickness_world</x:v>
      </x:c>
      <x:c r="B32" s="31" t="str">
        <x:v>전구 1</x:v>
      </x:c>
      <x:c r="C32" s="34" t="n">
        <x:v>0.18</x:v>
      </x:c>
      <x:c r="D32" s="25" t="str">
        <x:v>unit</x:v>
      </x:c>
      <x:c r="E32" s="25" t="str">
        <x:v>장판 두께</x:v>
      </x:c>
      <x:c r="F32" s="26" t="str">
        <x:v>연결</x:v>
      </x:c>
    </x:row>
    <x:row r="33" ht="20" customHeight="1">
      <x:c r="A33" s="24" t="str">
        <x:v>skill.bulb.2.max_damage</x:v>
      </x:c>
      <x:c r="B33" s="31" t="str">
        <x:v>전구 2</x:v>
      </x:c>
      <x:c r="C33" s="34" t="n">
        <x:v>15</x:v>
      </x:c>
      <x:c r="D33" s="25" t="str">
        <x:v>피해</x:v>
      </x:c>
      <x:c r="E33" s="25" t="str">
        <x:v>착탄 피해</x:v>
      </x:c>
      <x:c r="F33" s="26" t="str">
        <x:v>연결</x:v>
      </x:c>
    </x:row>
    <x:row r="34" ht="20" customHeight="1">
      <x:c r="A34" s="24" t="str">
        <x:v>skill.bulb.2.explosion_radius_world</x:v>
      </x:c>
      <x:c r="B34" s="31" t="str">
        <x:v>전구 2</x:v>
      </x:c>
      <x:c r="C34" s="34" t="n">
        <x:v>1.4</x:v>
      </x:c>
      <x:c r="D34" s="25" t="str">
        <x:v>unit</x:v>
      </x:c>
      <x:c r="E34" s="25" t="str">
        <x:v>착탄 반경</x:v>
      </x:c>
      <x:c r="F34" s="26" t="str">
        <x:v>연결</x:v>
      </x:c>
    </x:row>
    <x:row r="35" ht="20" customHeight="1">
      <x:c r="A35" s="24" t="str">
        <x:v>skill.bulb.2.knockback_force</x:v>
      </x:c>
      <x:c r="B35" s="31" t="str">
        <x:v>전구 2</x:v>
      </x:c>
      <x:c r="C35" s="34" t="n">
        <x:v>2.5</x:v>
      </x:c>
      <x:c r="D35" s="25" t="str">
        <x:v>힘</x:v>
      </x:c>
      <x:c r="E35" s="25" t="str">
        <x:v>넉백</x:v>
      </x:c>
      <x:c r="F35" s="26" t="str">
        <x:v>연결</x:v>
      </x:c>
    </x:row>
    <x:row r="36" ht="20" customHeight="1">
      <x:c r="A36" s="24" t="str">
        <x:v>skill.bulb.2.zone_damage_per_turn</x:v>
      </x:c>
      <x:c r="B36" s="31" t="str">
        <x:v>전구 2</x:v>
      </x:c>
      <x:c r="C36" s="34" t="n">
        <x:v>10</x:v>
      </x:c>
      <x:c r="D36" s="25" t="str">
        <x:v>피해/턴</x:v>
      </x:c>
      <x:c r="E36" s="25" t="str">
        <x:v>장판 턴 피해</x:v>
      </x:c>
      <x:c r="F36" s="26" t="str">
        <x:v>연결</x:v>
      </x:c>
    </x:row>
    <x:row r="37" ht="20" customHeight="1">
      <x:c r="A37" s="24" t="str">
        <x:v>skill.bulb.2.zone_duration_rounds</x:v>
      </x:c>
      <x:c r="B37" s="31" t="str">
        <x:v>전구 2</x:v>
      </x:c>
      <x:c r="C37" s="34" t="n">
        <x:v>2</x:v>
      </x:c>
      <x:c r="D37" s="25" t="str">
        <x:v>라운드</x:v>
      </x:c>
      <x:c r="E37" s="25" t="str">
        <x:v>장판 지속</x:v>
      </x:c>
      <x:c r="F37" s="26" t="str">
        <x:v>연결</x:v>
      </x:c>
    </x:row>
    <x:row r="38" ht="20" customHeight="1">
      <x:c r="A38" s="24" t="str">
        <x:v>skill.bulb.2.zone_length_world</x:v>
      </x:c>
      <x:c r="B38" s="31" t="str">
        <x:v>전구 2</x:v>
      </x:c>
      <x:c r="C38" s="34" t="n">
        <x:v>6</x:v>
      </x:c>
      <x:c r="D38" s="25" t="str">
        <x:v>unit</x:v>
      </x:c>
      <x:c r="E38" s="25" t="str">
        <x:v>장판 길이</x:v>
      </x:c>
      <x:c r="F38" s="26" t="str">
        <x:v>연결</x:v>
      </x:c>
    </x:row>
    <x:row r="39" ht="20" customHeight="1">
      <x:c r="A39" s="24" t="str">
        <x:v>skill.bulb.2.zone_thickness_world</x:v>
      </x:c>
      <x:c r="B39" s="31" t="str">
        <x:v>전구 2</x:v>
      </x:c>
      <x:c r="C39" s="34" t="n">
        <x:v>0.22</x:v>
      </x:c>
      <x:c r="D39" s="25" t="str">
        <x:v>unit</x:v>
      </x:c>
      <x:c r="E39" s="25" t="str">
        <x:v>장판 두께</x:v>
      </x:c>
      <x:c r="F39" s="26" t="str">
        <x:v>연결</x:v>
      </x:c>
    </x:row>
    <x:row r="40" ht="20" customHeight="1">
      <x:c r="A40" s="24" t="str">
        <x:v>skill.bulb.2.slow_multiplier</x:v>
      </x:c>
      <x:c r="B40" s="31" t="str">
        <x:v>전구 2</x:v>
      </x:c>
      <x:c r="C40" s="34" t="n">
        <x:v>0.6</x:v>
      </x:c>
      <x:c r="D40" s="25" t="str">
        <x:v>배</x:v>
      </x:c>
      <x:c r="E40" s="25" t="str">
        <x:v>이동 속도 배율</x:v>
      </x:c>
      <x:c r="F40" s="26" t="str">
        <x:v>연결</x:v>
      </x:c>
    </x:row>
    <x:row r="41" ht="20" customHeight="1">
      <x:c r="A41" s="24" t="str">
        <x:v>skill.bulb.3.max_damage</x:v>
      </x:c>
      <x:c r="B41" s="31" t="str">
        <x:v>전구 3</x:v>
      </x:c>
      <x:c r="C41" s="34" t="n">
        <x:v>8</x:v>
      </x:c>
      <x:c r="D41" s="25" t="str">
        <x:v>피해/폭발</x:v>
      </x:c>
      <x:c r="E41" s="25" t="str">
        <x:v>연쇄 폭발 1회 피해</x:v>
      </x:c>
      <x:c r="F41" s="26" t="str">
        <x:v>연결</x:v>
      </x:c>
    </x:row>
    <x:row r="42" ht="20" customHeight="1">
      <x:c r="A42" s="24" t="str">
        <x:v>skill.bulb.3.chain_max_total_damage</x:v>
      </x:c>
      <x:c r="B42" s="31" t="str">
        <x:v>전구 3</x:v>
      </x:c>
      <x:c r="C42" s="34" t="n">
        <x:v>35</x:v>
      </x:c>
      <x:c r="D42" s="25" t="str">
        <x:v>피해</x:v>
      </x:c>
      <x:c r="E42" s="25" t="str">
        <x:v>대상별 총 피해 제한</x:v>
      </x:c>
      <x:c r="F42" s="26" t="str">
        <x:v>연결</x:v>
      </x:c>
    </x:row>
    <x:row r="43" ht="20" customHeight="1">
      <x:c r="A43" s="24" t="str">
        <x:v>skill.bulb.3.explosion_radius_world</x:v>
      </x:c>
      <x:c r="B43" s="31" t="str">
        <x:v>전구 3</x:v>
      </x:c>
      <x:c r="C43" s="34" t="n">
        <x:v>0.7</x:v>
      </x:c>
      <x:c r="D43" s="25" t="str">
        <x:v>unit</x:v>
      </x:c>
      <x:c r="E43" s="25" t="str">
        <x:v>폭발 반경</x:v>
      </x:c>
      <x:c r="F43" s="26" t="str">
        <x:v>연결</x:v>
      </x:c>
    </x:row>
    <x:row r="44" ht="20" customHeight="1">
      <x:c r="A44" s="24" t="str">
        <x:v>skill.bulb.3.knockback_force</x:v>
      </x:c>
      <x:c r="B44" s="31" t="str">
        <x:v>전구 3</x:v>
      </x:c>
      <x:c r="C44" s="34" t="n">
        <x:v>4</x:v>
      </x:c>
      <x:c r="D44" s="25" t="str">
        <x:v>힘</x:v>
      </x:c>
      <x:c r="E44" s="25" t="str">
        <x:v>넉백</x:v>
      </x:c>
      <x:c r="F44" s="26" t="str">
        <x:v>연결</x:v>
      </x:c>
    </x:row>
    <x:row r="45" ht="20" customHeight="1">
      <x:c r="A45" s="24" t="str">
        <x:v>skill.bulb.3.terrain_radius_px</x:v>
      </x:c>
      <x:c r="B45" s="31" t="str">
        <x:v>전구 3</x:v>
      </x:c>
      <x:c r="C45" s="34" t="n">
        <x:v>17</x:v>
      </x:c>
      <x:c r="D45" s="25" t="str">
        <x:v>px</x:v>
      </x:c>
      <x:c r="E45" s="25" t="str">
        <x:v>지형 파괴 반경</x:v>
      </x:c>
      <x:c r="F45" s="26" t="str">
        <x:v>연결</x:v>
      </x:c>
    </x:row>
    <x:row r="46" ht="20" customHeight="1">
      <x:c r="A46" s="24" t="str">
        <x:v>skill.bulb.3.chain_count</x:v>
      </x:c>
      <x:c r="B46" s="31" t="str">
        <x:v>전구 3</x:v>
      </x:c>
      <x:c r="C46" s="34" t="n">
        <x:v>5</x:v>
      </x:c>
      <x:c r="D46" s="25" t="str">
        <x:v>회</x:v>
      </x:c>
      <x:c r="E46" s="25" t="str">
        <x:v>연쇄 횟수</x:v>
      </x:c>
      <x:c r="F46" s="26" t="str">
        <x:v>연결</x:v>
      </x:c>
    </x:row>
    <x:row r="47" ht="20" customHeight="1">
      <x:c r="A47" s="24" t="str">
        <x:v>skill.bulb.3.chain_spacing_world</x:v>
      </x:c>
      <x:c r="B47" s="31" t="str">
        <x:v>전구 3</x:v>
      </x:c>
      <x:c r="C47" s="34" t="n">
        <x:v>0.4</x:v>
      </x:c>
      <x:c r="D47" s="25" t="str">
        <x:v>unit</x:v>
      </x:c>
      <x:c r="E47" s="25" t="str">
        <x:v>연쇄 간격</x:v>
      </x:c>
      <x:c r="F47" s="26" t="str">
        <x:v>연결</x:v>
      </x:c>
    </x:row>
    <x:row r="48" ht="20" customHeight="1">
      <x:c r="A48" s="24" t="str">
        <x:v>skill.bulb.3.chain_delay_seconds</x:v>
      </x:c>
      <x:c r="B48" s="31" t="str">
        <x:v>전구 3</x:v>
      </x:c>
      <x:c r="C48" s="34" t="n">
        <x:v>0.1</x:v>
      </x:c>
      <x:c r="D48" s="25" t="str">
        <x:v>초</x:v>
      </x:c>
      <x:c r="E48" s="25" t="str">
        <x:v>연쇄 간 시간</x:v>
      </x:c>
      <x:c r="F48" s="26" t="str">
        <x:v>연결</x:v>
      </x:c>
    </x:row>
    <x:row r="49" ht="20" customHeight="1">
      <x:c r="A49" s="24" t="str">
        <x:v>skill.bulb.3.blink_seconds</x:v>
      </x:c>
      <x:c r="B49" s="31" t="str">
        <x:v>전구 3</x:v>
      </x:c>
      <x:c r="C49" s="34" t="n">
        <x:v>0.7</x:v>
      </x:c>
      <x:c r="D49" s="25" t="str">
        <x:v>초</x:v>
      </x:c>
      <x:c r="E49" s="25" t="str">
        <x:v>점멸 시간</x:v>
      </x:c>
      <x:c r="F49" s="26" t="str">
        <x:v>연결</x:v>
      </x:c>
    </x:row>
    <x:row r="50" ht="20" customHeight="1">
      <x:c r="A50" s="24" t="str">
        <x:v>skill.bulb.3.blink_interval_seconds</x:v>
      </x:c>
      <x:c r="B50" s="31" t="str">
        <x:v>전구 3</x:v>
      </x:c>
      <x:c r="C50" s="34" t="n">
        <x:v>0.085</x:v>
      </x:c>
      <x:c r="D50" s="25" t="str">
        <x:v>초</x:v>
      </x:c>
      <x:c r="E50" s="25" t="str">
        <x:v>점멸 간격</x:v>
      </x:c>
      <x:c r="F50" s="26" t="str">
        <x:v>연결</x:v>
      </x:c>
    </x:row>
    <x:row r="51" ht="20" customHeight="1">
      <x:c r="A51" s="24" t="str">
        <x:v>skill.seed.1.max_damage</x:v>
      </x:c>
      <x:c r="B51" s="31" t="str">
        <x:v>씨앗 1</x:v>
      </x:c>
      <x:c r="C51" s="34" t="n">
        <x:v>5</x:v>
      </x:c>
      <x:c r="D51" s="25" t="str">
        <x:v>피해</x:v>
      </x:c>
      <x:c r="E51" s="25" t="str">
        <x:v>착탄 피해</x:v>
      </x:c>
      <x:c r="F51" s="26" t="str">
        <x:v>연결</x:v>
      </x:c>
    </x:row>
    <x:row r="52" ht="20" customHeight="1">
      <x:c r="A52" s="24" t="str">
        <x:v>skill.seed.1.explosion_radius_world</x:v>
      </x:c>
      <x:c r="B52" s="31" t="str">
        <x:v>씨앗 1</x:v>
      </x:c>
      <x:c r="C52" s="34" t="n">
        <x:v>0.48</x:v>
      </x:c>
      <x:c r="D52" s="25" t="str">
        <x:v>unit</x:v>
      </x:c>
      <x:c r="E52" s="25" t="str">
        <x:v>착탄 반경</x:v>
      </x:c>
      <x:c r="F52" s="26" t="str">
        <x:v>연결</x:v>
      </x:c>
    </x:row>
    <x:row r="53" ht="20" customHeight="1">
      <x:c r="A53" s="24" t="str">
        <x:v>skill.seed.1.terrain_radius_px</x:v>
      </x:c>
      <x:c r="B53" s="31" t="str">
        <x:v>씨앗 1</x:v>
      </x:c>
      <x:c r="C53" s="34" t="n">
        <x:v>18</x:v>
      </x:c>
      <x:c r="D53" s="25" t="str">
        <x:v>px</x:v>
      </x:c>
      <x:c r="E53" s="25" t="str">
        <x:v>중심 지형 반경</x:v>
      </x:c>
      <x:c r="F53" s="26" t="str">
        <x:v>연결</x:v>
      </x:c>
    </x:row>
    <x:row r="54" ht="20" customHeight="1">
      <x:c r="A54" s="24" t="str">
        <x:v>skill.seed.1.terrain_burst_count</x:v>
      </x:c>
      <x:c r="B54" s="31" t="str">
        <x:v>씨앗 1</x:v>
      </x:c>
      <x:c r="C54" s="34" t="n">
        <x:v>12</x:v>
      </x:c>
      <x:c r="D54" s="25" t="str">
        <x:v>회</x:v>
      </x:c>
      <x:c r="E54" s="25" t="str">
        <x:v>지형 생성 스탬프 수</x:v>
      </x:c>
      <x:c r="F54" s="26" t="str">
        <x:v>연결</x:v>
      </x:c>
    </x:row>
    <x:row r="55" ht="20" customHeight="1">
      <x:c r="A55" s="24" t="str">
        <x:v>skill.seed.1.terrain_burst_stamp_radius_px</x:v>
      </x:c>
      <x:c r="B55" s="31" t="str">
        <x:v>씨앗 1</x:v>
      </x:c>
      <x:c r="C55" s="34" t="n">
        <x:v>9</x:v>
      </x:c>
      <x:c r="D55" s="25" t="str">
        <x:v>px</x:v>
      </x:c>
      <x:c r="E55" s="25" t="str">
        <x:v>스탬프 반경</x:v>
      </x:c>
      <x:c r="F55" s="26" t="str">
        <x:v>연결</x:v>
      </x:c>
    </x:row>
    <x:row r="56" ht="20" customHeight="1">
      <x:c r="A56" s="24" t="str">
        <x:v>skill.seed.1.terrain_burst_interval_seconds</x:v>
      </x:c>
      <x:c r="B56" s="31" t="str">
        <x:v>씨앗 1</x:v>
      </x:c>
      <x:c r="C56" s="34" t="n">
        <x:v>0.055</x:v>
      </x:c>
      <x:c r="D56" s="25" t="str">
        <x:v>초</x:v>
      </x:c>
      <x:c r="E56" s="25" t="str">
        <x:v>스탬프 생성 간격</x:v>
      </x:c>
      <x:c r="F56" s="26" t="str">
        <x:v>연결</x:v>
      </x:c>
    </x:row>
    <x:row r="57" ht="20" customHeight="1">
      <x:c r="A57" s="24" t="str">
        <x:v>skill.seed.1.terrain_burst_spread_world</x:v>
      </x:c>
      <x:c r="B57" s="31" t="str">
        <x:v>씨앗 1</x:v>
      </x:c>
      <x:c r="C57" s="34" t="n">
        <x:v>1.2</x:v>
      </x:c>
      <x:c r="D57" s="25" t="str">
        <x:v>unit</x:v>
      </x:c>
      <x:c r="E57" s="25" t="str">
        <x:v>가로 생성 범위</x:v>
      </x:c>
      <x:c r="F57" s="26" t="str">
        <x:v>연결</x:v>
      </x:c>
    </x:row>
    <x:row r="58" ht="20" customHeight="1">
      <x:c r="A58" s="24" t="str">
        <x:v>skill.seed.1.final_radius_y_world</x:v>
      </x:c>
      <x:c r="B58" s="31" t="str">
        <x:v>씨앗 1</x:v>
      </x:c>
      <x:c r="C58" s="34" t="n">
        <x:v>0.95</x:v>
      </x:c>
      <x:c r="D58" s="25" t="str">
        <x:v>unit</x:v>
      </x:c>
      <x:c r="E58" s="25" t="str">
        <x:v>세로 생성 범위</x:v>
      </x:c>
      <x:c r="F58" s="26" t="str">
        <x:v>연결</x:v>
      </x:c>
    </x:row>
    <x:row r="59" ht="20" customHeight="1">
      <x:c r="A59" s="24" t="str">
        <x:v>skill.seed.1.max_build_height_world</x:v>
      </x:c>
      <x:c r="B59" s="31" t="str">
        <x:v>씨앗 1</x:v>
      </x:c>
      <x:c r="C59" s="34" t="n">
        <x:v>5</x:v>
      </x:c>
      <x:c r="D59" s="25" t="str">
        <x:v>unit</x:v>
      </x:c>
      <x:c r="E59" s="25" t="str">
        <x:v>표면 위 최대 생성 높이</x:v>
      </x:c>
      <x:c r="F59" s="26" t="str">
        <x:v>연결</x:v>
      </x:c>
    </x:row>
    <x:row r="60" ht="20" customHeight="1">
      <x:c r="A60" s="24" t="str">
        <x:v>skill.seed.2.max_damage</x:v>
      </x:c>
      <x:c r="B60" s="31" t="str">
        <x:v>씨앗 2</x:v>
      </x:c>
      <x:c r="C60" s="34" t="n">
        <x:v>3</x:v>
      </x:c>
      <x:c r="D60" s="25" t="str">
        <x:v>피해</x:v>
      </x:c>
      <x:c r="E60" s="25" t="str">
        <x:v>착탄 피해</x:v>
      </x:c>
      <x:c r="F60" s="26" t="str">
        <x:v>연결</x:v>
      </x:c>
    </x:row>
    <x:row r="61" ht="20" customHeight="1">
      <x:c r="A61" s="24" t="str">
        <x:v>skill.seed.2.explosion_radius_world</x:v>
      </x:c>
      <x:c r="B61" s="31" t="str">
        <x:v>씨앗 2</x:v>
      </x:c>
      <x:c r="C61" s="34" t="n">
        <x:v>0.38</x:v>
      </x:c>
      <x:c r="D61" s="25" t="str">
        <x:v>unit</x:v>
      </x:c>
      <x:c r="E61" s="25" t="str">
        <x:v>착탄 반경</x:v>
      </x:c>
      <x:c r="F61" s="26" t="str">
        <x:v>연결</x:v>
      </x:c>
    </x:row>
    <x:row r="62" ht="20" customHeight="1">
      <x:c r="A62" s="24" t="str">
        <x:v>skill.seed.2.bridge_length_world</x:v>
      </x:c>
      <x:c r="B62" s="31" t="str">
        <x:v>씨앗 2</x:v>
      </x:c>
      <x:c r="C62" s="34" t="n">
        <x:v>6.5</x:v>
      </x:c>
      <x:c r="D62" s="25" t="str">
        <x:v>unit</x:v>
      </x:c>
      <x:c r="E62" s="25" t="str">
        <x:v>다리 길이</x:v>
      </x:c>
      <x:c r="F62" s="26" t="str">
        <x:v>연결</x:v>
      </x:c>
    </x:row>
    <x:row r="63" ht="20" customHeight="1">
      <x:c r="A63" s="24" t="str">
        <x:v>skill.seed.2.bridge_thickness_px</x:v>
      </x:c>
      <x:c r="B63" s="31" t="str">
        <x:v>씨앗 2</x:v>
      </x:c>
      <x:c r="C63" s="34" t="n">
        <x:v>9</x:v>
      </x:c>
      <x:c r="D63" s="25" t="str">
        <x:v>px</x:v>
      </x:c>
      <x:c r="E63" s="25" t="str">
        <x:v>다리 두께</x:v>
      </x:c>
      <x:c r="F63" s="26" t="str">
        <x:v>연결</x:v>
      </x:c>
    </x:row>
    <x:row r="64" ht="20" customHeight="1">
      <x:c r="A64" s="24" t="str">
        <x:v>skill.seed.3.max_damage</x:v>
      </x:c>
      <x:c r="B64" s="31" t="str">
        <x:v>씨앗 3</x:v>
      </x:c>
      <x:c r="C64" s="34" t="n">
        <x:v>10</x:v>
      </x:c>
      <x:c r="D64" s="25" t="str">
        <x:v>피해</x:v>
      </x:c>
      <x:c r="E64" s="25" t="str">
        <x:v>착탄 피해</x:v>
      </x:c>
      <x:c r="F64" s="26" t="str">
        <x:v>연결</x:v>
      </x:c>
    </x:row>
    <x:row r="65" ht="20" customHeight="1">
      <x:c r="A65" s="24" t="str">
        <x:v>skill.seed.3.explosion_radius_world</x:v>
      </x:c>
      <x:c r="B65" s="31" t="str">
        <x:v>씨앗 3</x:v>
      </x:c>
      <x:c r="C65" s="34" t="n">
        <x:v>0.8</x:v>
      </x:c>
      <x:c r="D65" s="25" t="str">
        <x:v>unit</x:v>
      </x:c>
      <x:c r="E65" s="25" t="str">
        <x:v>착탄 반경</x:v>
      </x:c>
      <x:c r="F65" s="26" t="str">
        <x:v>연결</x:v>
      </x:c>
    </x:row>
    <x:row r="66" ht="20" customHeight="1">
      <x:c r="A66" s="24" t="str">
        <x:v>skill.seed.3.zone_damage_per_turn</x:v>
      </x:c>
      <x:c r="B66" s="31" t="str">
        <x:v>씨앗 3</x:v>
      </x:c>
      <x:c r="C66" s="34" t="n">
        <x:v>12</x:v>
      </x:c>
      <x:c r="D66" s="25" t="str">
        <x:v>피해/턴</x:v>
      </x:c>
      <x:c r="E66" s="25" t="str">
        <x:v>장판 턴 피해</x:v>
      </x:c>
      <x:c r="F66" s="26" t="str">
        <x:v>연결</x:v>
      </x:c>
    </x:row>
    <x:row r="67" ht="20" customHeight="1">
      <x:c r="A67" s="24" t="str">
        <x:v>skill.seed.3.zone_duration_rounds</x:v>
      </x:c>
      <x:c r="B67" s="31" t="str">
        <x:v>씨앗 3</x:v>
      </x:c>
      <x:c r="C67" s="34" t="n">
        <x:v>2</x:v>
      </x:c>
      <x:c r="D67" s="25" t="str">
        <x:v>라운드</x:v>
      </x:c>
      <x:c r="E67" s="25" t="str">
        <x:v>장판 지속</x:v>
      </x:c>
      <x:c r="F67" s="26" t="str">
        <x:v>연결</x:v>
      </x:c>
    </x:row>
    <x:row r="68" ht="20" customHeight="1">
      <x:c r="A68" s="24" t="str">
        <x:v>skill.seed.3.zone_length_world</x:v>
      </x:c>
      <x:c r="B68" s="31" t="str">
        <x:v>씨앗 3</x:v>
      </x:c>
      <x:c r="C68" s="34" t="n">
        <x:v>5.5</x:v>
      </x:c>
      <x:c r="D68" s="25" t="str">
        <x:v>unit</x:v>
      </x:c>
      <x:c r="E68" s="25" t="str">
        <x:v>장판 길이</x:v>
      </x:c>
      <x:c r="F68" s="26" t="str">
        <x:v>연결</x:v>
      </x:c>
    </x:row>
    <x:row r="69" ht="20" customHeight="1">
      <x:c r="A69" s="24" t="str">
        <x:v>skill.seed.3.zone_thickness_world</x:v>
      </x:c>
      <x:c r="B69" s="31" t="str">
        <x:v>씨앗 3</x:v>
      </x:c>
      <x:c r="C69" s="34" t="n">
        <x:v>0.25</x:v>
      </x:c>
      <x:c r="D69" s="25" t="str">
        <x:v>unit</x:v>
      </x:c>
      <x:c r="E69" s="25" t="str">
        <x:v>장판 두께</x:v>
      </x:c>
      <x:c r="F69" s="26" t="str">
        <x:v>연결</x:v>
      </x:c>
    </x:row>
    <x:row r="70" ht="20" customHeight="1">
      <x:c r="A70" s="24" t="str">
        <x:v>skill.bomb.1.max_damage</x:v>
      </x:c>
      <x:c r="B70" s="31" t="str">
        <x:v>폭탄 1</x:v>
      </x:c>
      <x:c r="C70" s="34" t="n">
        <x:v>15</x:v>
      </x:c>
      <x:c r="D70" s="25" t="str">
        <x:v>피해</x:v>
      </x:c>
      <x:c r="E70" s="25" t="str">
        <x:v>폭발 최대 피해</x:v>
      </x:c>
      <x:c r="F70" s="26" t="str">
        <x:v>연결</x:v>
      </x:c>
    </x:row>
    <x:row r="71" ht="20" customHeight="1">
      <x:c r="A71" s="24" t="str">
        <x:v>skill.bomb.1.explosion_radius_world</x:v>
      </x:c>
      <x:c r="B71" s="31" t="str">
        <x:v>폭탄 1</x:v>
      </x:c>
      <x:c r="C71" s="34" t="n">
        <x:v>1.1</x:v>
      </x:c>
      <x:c r="D71" s="25" t="str">
        <x:v>unit</x:v>
      </x:c>
      <x:c r="E71" s="25" t="str">
        <x:v>폭발 반경</x:v>
      </x:c>
      <x:c r="F71" s="26" t="str">
        <x:v>연결</x:v>
      </x:c>
    </x:row>
    <x:row r="72" ht="20" customHeight="1">
      <x:c r="A72" s="24" t="str">
        <x:v>skill.bomb.1.terrain_radius_px</x:v>
      </x:c>
      <x:c r="B72" s="31" t="str">
        <x:v>폭탄 1</x:v>
      </x:c>
      <x:c r="C72" s="34" t="n">
        <x:v>26</x:v>
      </x:c>
      <x:c r="D72" s="25" t="str">
        <x:v>px</x:v>
      </x:c>
      <x:c r="E72" s="25" t="str">
        <x:v>지형 파괴 반경</x:v>
      </x:c>
      <x:c r="F72" s="26" t="str">
        <x:v>연결</x:v>
      </x:c>
    </x:row>
    <x:row r="73" ht="20" customHeight="1">
      <x:c r="A73" s="24" t="str">
        <x:v>skill.bomb.1.knockback_force</x:v>
      </x:c>
      <x:c r="B73" s="31" t="str">
        <x:v>폭탄 1</x:v>
      </x:c>
      <x:c r="C73" s="34" t="n">
        <x:v>12</x:v>
      </x:c>
      <x:c r="D73" s="25" t="str">
        <x:v>힘</x:v>
      </x:c>
      <x:c r="E73" s="25" t="str">
        <x:v>넉백</x:v>
      </x:c>
      <x:c r="F73" s="26" t="str">
        <x:v>연결</x:v>
      </x:c>
    </x:row>
    <x:row r="74" ht="20" customHeight="1">
      <x:c r="A74" s="24" t="str">
        <x:v>skill.bomb.2.max_damage</x:v>
      </x:c>
      <x:c r="B74" s="31" t="str">
        <x:v>폭탄 2</x:v>
      </x:c>
      <x:c r="C74" s="34" t="n">
        <x:v>30</x:v>
      </x:c>
      <x:c r="D74" s="25" t="str">
        <x:v>피해</x:v>
      </x:c>
      <x:c r="E74" s="25" t="str">
        <x:v>폭발 최대 피해</x:v>
      </x:c>
      <x:c r="F74" s="26" t="str">
        <x:v>연결</x:v>
      </x:c>
    </x:row>
    <x:row r="75" ht="20" customHeight="1">
      <x:c r="A75" s="24" t="str">
        <x:v>skill.bomb.2.explosion_radius_world</x:v>
      </x:c>
      <x:c r="B75" s="31" t="str">
        <x:v>폭탄 2</x:v>
      </x:c>
      <x:c r="C75" s="34" t="n">
        <x:v>1.4</x:v>
      </x:c>
      <x:c r="D75" s="25" t="str">
        <x:v>unit</x:v>
      </x:c>
      <x:c r="E75" s="25" t="str">
        <x:v>폭발 반경</x:v>
      </x:c>
      <x:c r="F75" s="26" t="str">
        <x:v>연결</x:v>
      </x:c>
    </x:row>
    <x:row r="76" ht="20" customHeight="1">
      <x:c r="A76" s="24" t="str">
        <x:v>skill.bomb.2.terrain_radius_px</x:v>
      </x:c>
      <x:c r="B76" s="31" t="str">
        <x:v>폭탄 2</x:v>
      </x:c>
      <x:c r="C76" s="34" t="n">
        <x:v>40</x:v>
      </x:c>
      <x:c r="D76" s="25" t="str">
        <x:v>px</x:v>
      </x:c>
      <x:c r="E76" s="25" t="str">
        <x:v>지형 파괴 반경</x:v>
      </x:c>
      <x:c r="F76" s="26" t="str">
        <x:v>연결</x:v>
      </x:c>
    </x:row>
    <x:row r="77" ht="20" customHeight="1">
      <x:c r="A77" s="24" t="str">
        <x:v>skill.bomb.2.knockback_force</x:v>
      </x:c>
      <x:c r="B77" s="31" t="str">
        <x:v>폭탄 2</x:v>
      </x:c>
      <x:c r="C77" s="34" t="n">
        <x:v>7</x:v>
      </x:c>
      <x:c r="D77" s="25" t="str">
        <x:v>힘</x:v>
      </x:c>
      <x:c r="E77" s="25" t="str">
        <x:v>넉백</x:v>
      </x:c>
      <x:c r="F77" s="26" t="str">
        <x:v>연결</x:v>
      </x:c>
    </x:row>
    <x:row r="78" ht="20" customHeight="1">
      <x:c r="A78" s="24" t="str">
        <x:v>skill.bomb.2.delay_seconds</x:v>
      </x:c>
      <x:c r="B78" s="31" t="str">
        <x:v>폭탄 2</x:v>
      </x:c>
      <x:c r="C78" s="34" t="n">
        <x:v>2</x:v>
      </x:c>
      <x:c r="D78" s="25" t="str">
        <x:v>초</x:v>
      </x:c>
      <x:c r="E78" s="25" t="str">
        <x:v>지연 폭발 시간</x:v>
      </x:c>
      <x:c r="F78" s="26" t="str">
        <x:v>연결</x:v>
      </x:c>
    </x:row>
    <x:row r="79" ht="20" customHeight="1">
      <x:c r="A79" s="24" t="str">
        <x:v>skill.bomb.3.max_damage</x:v>
      </x:c>
      <x:c r="B79" s="31" t="str">
        <x:v>폭탄 3</x:v>
      </x:c>
      <x:c r="C79" s="34" t="n">
        <x:v>9</x:v>
      </x:c>
      <x:c r="D79" s="25" t="str">
        <x:v>피해/폭발</x:v>
      </x:c>
      <x:c r="E79" s="25" t="str">
        <x:v>연쇄 폭발 1회 피해</x:v>
      </x:c>
      <x:c r="F79" s="26" t="str">
        <x:v>연결</x:v>
      </x:c>
    </x:row>
    <x:row r="80" ht="20" customHeight="1">
      <x:c r="A80" s="24" t="str">
        <x:v>skill.bomb.3.chain_max_total_damage</x:v>
      </x:c>
      <x:c r="B80" s="31" t="str">
        <x:v>폭탄 3</x:v>
      </x:c>
      <x:c r="C80" s="34" t="n">
        <x:v>45</x:v>
      </x:c>
      <x:c r="D80" s="25" t="str">
        <x:v>피해</x:v>
      </x:c>
      <x:c r="E80" s="25" t="str">
        <x:v>대상별 총 피해 제한</x:v>
      </x:c>
      <x:c r="F80" s="26" t="str">
        <x:v>연결</x:v>
      </x:c>
    </x:row>
    <x:row r="81" ht="20" customHeight="1">
      <x:c r="A81" s="24" t="str">
        <x:v>skill.bomb.3.explosion_radius_world</x:v>
      </x:c>
      <x:c r="B81" s="31" t="str">
        <x:v>폭탄 3</x:v>
      </x:c>
      <x:c r="C81" s="34" t="n">
        <x:v>0.9</x:v>
      </x:c>
      <x:c r="D81" s="25" t="str">
        <x:v>unit</x:v>
      </x:c>
      <x:c r="E81" s="25" t="str">
        <x:v>폭발 반경</x:v>
      </x:c>
      <x:c r="F81" s="26" t="str">
        <x:v>연결</x:v>
      </x:c>
    </x:row>
    <x:row r="82" ht="20" customHeight="1">
      <x:c r="A82" s="24" t="str">
        <x:v>skill.bomb.3.terrain_radius_px</x:v>
      </x:c>
      <x:c r="B82" s="31" t="str">
        <x:v>폭탄 3</x:v>
      </x:c>
      <x:c r="C82" s="34" t="n">
        <x:v>28</x:v>
      </x:c>
      <x:c r="D82" s="25" t="str">
        <x:v>px</x:v>
      </x:c>
      <x:c r="E82" s="25" t="str">
        <x:v>지형 파괴 반경</x:v>
      </x:c>
      <x:c r="F82" s="26" t="str">
        <x:v>연결</x:v>
      </x:c>
    </x:row>
    <x:row r="83" ht="20" customHeight="1">
      <x:c r="A83" s="24" t="str">
        <x:v>skill.bomb.3.knockback_force</x:v>
      </x:c>
      <x:c r="B83" s="31" t="str">
        <x:v>폭탄 3</x:v>
      </x:c>
      <x:c r="C83" s="34" t="n">
        <x:v>7</x:v>
      </x:c>
      <x:c r="D83" s="25" t="str">
        <x:v>힘</x:v>
      </x:c>
      <x:c r="E83" s="25" t="str">
        <x:v>넉백</x:v>
      </x:c>
      <x:c r="F83" s="26" t="str">
        <x:v>연결</x:v>
      </x:c>
    </x:row>
    <x:row r="84" ht="20" customHeight="1">
      <x:c r="A84" s="24" t="str">
        <x:v>skill.bomb.3.chain_count</x:v>
      </x:c>
      <x:c r="B84" s="31" t="str">
        <x:v>폭탄 3</x:v>
      </x:c>
      <x:c r="C84" s="34" t="n">
        <x:v>6</x:v>
      </x:c>
      <x:c r="D84" s="25" t="str">
        <x:v>회</x:v>
      </x:c>
      <x:c r="E84" s="25" t="str">
        <x:v>연쇄 횟수</x:v>
      </x:c>
      <x:c r="F84" s="26" t="str">
        <x:v>연결</x:v>
      </x:c>
    </x:row>
    <x:row r="85" ht="20" customHeight="1">
      <x:c r="A85" s="24" t="str">
        <x:v>skill.bomb.3.chain_spacing_world</x:v>
      </x:c>
      <x:c r="B85" s="31" t="str">
        <x:v>폭탄 3</x:v>
      </x:c>
      <x:c r="C85" s="34" t="n">
        <x:v>0.5</x:v>
      </x:c>
      <x:c r="D85" s="25" t="str">
        <x:v>unit</x:v>
      </x:c>
      <x:c r="E85" s="25" t="str">
        <x:v>연쇄 간격</x:v>
      </x:c>
      <x:c r="F85" s="26" t="str">
        <x:v>연결</x:v>
      </x:c>
    </x:row>
    <x:row r="86" ht="20" customHeight="1">
      <x:c r="A86" s="24" t="str">
        <x:v>skill.bomb.3.chain_delay_seconds</x:v>
      </x:c>
      <x:c r="B86" s="31" t="str">
        <x:v>폭탄 3</x:v>
      </x:c>
      <x:c r="C86" s="34" t="n">
        <x:v>0.14</x:v>
      </x:c>
      <x:c r="D86" s="25" t="str">
        <x:v>초</x:v>
      </x:c>
      <x:c r="E86" s="25" t="str">
        <x:v>연쇄 간 시간</x:v>
      </x:c>
      <x:c r="F86" s="26" t="str">
        <x:v>연결</x:v>
      </x:c>
    </x:row>
    <x:row r="87" ht="20" customHeight="1">
      <x:c r="A87" s="24" t="str">
        <x:v>skill.bomb.3.rolling_min_speed</x:v>
      </x:c>
      <x:c r="B87" s="31" t="str">
        <x:v>폭탄 3</x:v>
      </x:c>
      <x:c r="C87" s="34" t="n">
        <x:v>3.2</x:v>
      </x:c>
      <x:c r="D87" s="25" t="str">
        <x:v>unit/s</x:v>
      </x:c>
      <x:c r="E87" s="25" t="str">
        <x:v>굴러가는 최소 속도</x:v>
      </x:c>
      <x:c r="F87" s="26" t="str">
        <x:v>연결</x:v>
      </x:c>
    </x:row>
    <x:row r="88" ht="20" customHeight="1">
      <x:c r="A88" s="24" t="str">
        <x:v>skill.bomb.3.rolling_angular_speed</x:v>
      </x:c>
      <x:c r="B88" s="31" t="str">
        <x:v>폭탄 3</x:v>
      </x:c>
      <x:c r="C88" s="34" t="n">
        <x:v>720</x:v>
      </x:c>
      <x:c r="D88" s="25" t="str">
        <x:v>deg/s</x:v>
      </x:c>
      <x:c r="E88" s="25" t="str">
        <x:v>회전 속도</x:v>
      </x:c>
      <x:c r="F88" s="26" t="str">
        <x:v>연결</x:v>
      </x:c>
    </x:row>
    <x:row r="89" ht="20" customHeight="1">
      <x:c r="A89" s="24" t="str">
        <x:v>common.attack.cluster_count</x:v>
      </x:c>
      <x:c r="B89" s="31" t="str">
        <x:v>공용 공격머리</x:v>
      </x:c>
      <x:c r="C89" s="34" t="n">
        <x:v>8</x:v>
      </x:c>
      <x:c r="D89" s="25" t="str">
        <x:v>회</x:v>
      </x:c>
      <x:c r="E89" s="25" t="str">
        <x:v>연쇄 폭발 수</x:v>
      </x:c>
      <x:c r="F89" s="26" t="str">
        <x:v>연결</x:v>
      </x:c>
    </x:row>
    <x:row r="90" ht="20" customHeight="1">
      <x:c r="A90" s="24" t="str">
        <x:v>common.attack.damage_per_explosion</x:v>
      </x:c>
      <x:c r="B90" s="31" t="str">
        <x:v>공용 공격머리</x:v>
      </x:c>
      <x:c r="C90" s="34" t="n">
        <x:v>16</x:v>
      </x:c>
      <x:c r="D90" s="25" t="str">
        <x:v>피해/폭발</x:v>
      </x:c>
      <x:c r="E90" s="25" t="str">
        <x:v>폭발 1회 피해</x:v>
      </x:c>
      <x:c r="F90" s="26" t="str">
        <x:v>연결</x:v>
      </x:c>
    </x:row>
    <x:row r="91" ht="20" customHeight="1">
      <x:c r="A91" s="24" t="str">
        <x:v>common.attack.max_total_damage</x:v>
      </x:c>
      <x:c r="B91" s="31" t="str">
        <x:v>공용 공격머리</x:v>
      </x:c>
      <x:c r="C91" s="34" t="n">
        <x:v>72</x:v>
      </x:c>
      <x:c r="D91" s="25" t="str">
        <x:v>피해</x:v>
      </x:c>
      <x:c r="E91" s="25" t="str">
        <x:v>대상별 총 피해 제한</x:v>
      </x:c>
      <x:c r="F91" s="26" t="str">
        <x:v>연결</x:v>
      </x:c>
    </x:row>
    <x:row r="92" ht="20" customHeight="1">
      <x:c r="A92" s="24" t="str">
        <x:v>common.attack.terrain_radius_px</x:v>
      </x:c>
      <x:c r="B92" s="31" t="str">
        <x:v>공용 공격머리</x:v>
      </x:c>
      <x:c r="C92" s="34" t="n">
        <x:v>40</x:v>
      </x:c>
      <x:c r="D92" s="25" t="str">
        <x:v>px</x:v>
      </x:c>
      <x:c r="E92" s="25" t="str">
        <x:v>지형 파괴 반경</x:v>
      </x:c>
      <x:c r="F92" s="26" t="str">
        <x:v>연결</x:v>
      </x:c>
    </x:row>
    <x:row r="93" ht="20" customHeight="1">
      <x:c r="A93" s="24" t="str">
        <x:v>common.attack.explosion_radius_world</x:v>
      </x:c>
      <x:c r="B93" s="31" t="str">
        <x:v>공용 공격머리</x:v>
      </x:c>
      <x:c r="C93" s="34" t="n">
        <x:v>1.25</x:v>
      </x:c>
      <x:c r="D93" s="25" t="str">
        <x:v>unit</x:v>
      </x:c>
      <x:c r="E93" s="25" t="str">
        <x:v>폭발 반경</x:v>
      </x:c>
      <x:c r="F93" s="26" t="str">
        <x:v>연결</x:v>
      </x:c>
    </x:row>
    <x:row r="94" ht="20" customHeight="1">
      <x:c r="A94" s="24" t="str">
        <x:v>common.attack.spread_radius_world</x:v>
      </x:c>
      <x:c r="B94" s="31" t="str">
        <x:v>공용 공격머리</x:v>
      </x:c>
      <x:c r="C94" s="34" t="n">
        <x:v>2.6</x:v>
      </x:c>
      <x:c r="D94" s="25" t="str">
        <x:v>unit</x:v>
      </x:c>
      <x:c r="E94" s="25" t="str">
        <x:v>연쇄 범위</x:v>
      </x:c>
      <x:c r="F94" s="26" t="str">
        <x:v>연결</x:v>
      </x:c>
    </x:row>
    <x:row r="95" ht="20" customHeight="1">
      <x:c r="A95" s="24" t="str">
        <x:v>common.attack.delay_seconds</x:v>
      </x:c>
      <x:c r="B95" s="31" t="str">
        <x:v>공용 공격머리</x:v>
      </x:c>
      <x:c r="C95" s="34" t="n">
        <x:v>0.09</x:v>
      </x:c>
      <x:c r="D95" s="25" t="str">
        <x:v>초</x:v>
      </x:c>
      <x:c r="E95" s="25" t="str">
        <x:v>연쇄 간 시간</x:v>
      </x:c>
      <x:c r="F95" s="26" t="str">
        <x:v>연결</x:v>
      </x:c>
    </x:row>
    <x:row r="96" ht="20" customHeight="1">
      <x:c r="A96" s="24" t="str">
        <x:v>common.attack.knockback_force</x:v>
      </x:c>
      <x:c r="B96" s="31" t="str">
        <x:v>공용 공격머리</x:v>
      </x:c>
      <x:c r="C96" s="34" t="n">
        <x:v>9.5</x:v>
      </x:c>
      <x:c r="D96" s="25" t="str">
        <x:v>힘</x:v>
      </x:c>
      <x:c r="E96" s="25" t="str">
        <x:v>넉백</x:v>
      </x:c>
      <x:c r="F96" s="26" t="str">
        <x:v>연결</x:v>
      </x:c>
    </x:row>
    <x:row r="97" ht="20" customHeight="1">
      <x:c r="A97" s="24" t="str">
        <x:v>common.terrain.created_radius_px</x:v>
      </x:c>
      <x:c r="B97" s="31" t="str">
        <x:v>공용 지형머리</x:v>
      </x:c>
      <x:c r="C97" s="34" t="n">
        <x:v>20</x:v>
      </x:c>
      <x:c r="D97" s="25" t="str">
        <x:v>px</x:v>
      </x:c>
      <x:c r="E97" s="25" t="str">
        <x:v>착탄 중심 반경</x:v>
      </x:c>
      <x:c r="F97" s="26" t="str">
        <x:v>연결</x:v>
      </x:c>
    </x:row>
    <x:row r="98" ht="20" customHeight="1">
      <x:c r="A98" s="24" t="str">
        <x:v>common.terrain.burst_count</x:v>
      </x:c>
      <x:c r="B98" s="31" t="str">
        <x:v>공용 지형머리</x:v>
      </x:c>
      <x:c r="C98" s="34" t="n">
        <x:v>22</x:v>
      </x:c>
      <x:c r="D98" s="25" t="str">
        <x:v>회</x:v>
      </x:c>
      <x:c r="E98" s="25" t="str">
        <x:v>지형 생성 스탬프 수</x:v>
      </x:c>
      <x:c r="F98" s="26" t="str">
        <x:v>연결</x:v>
      </x:c>
    </x:row>
    <x:row r="99" ht="20" customHeight="1">
      <x:c r="A99" s="24" t="str">
        <x:v>common.terrain.stamp_radius_px</x:v>
      </x:c>
      <x:c r="B99" s="31" t="str">
        <x:v>공용 지형머리</x:v>
      </x:c>
      <x:c r="C99" s="34" t="n">
        <x:v>12</x:v>
      </x:c>
      <x:c r="D99" s="25" t="str">
        <x:v>px</x:v>
      </x:c>
      <x:c r="E99" s="25" t="str">
        <x:v>스탬프 반경</x:v>
      </x:c>
      <x:c r="F99" s="26" t="str">
        <x:v>연결</x:v>
      </x:c>
    </x:row>
    <x:row r="100" ht="20" customHeight="1">
      <x:c r="A100" s="24" t="str">
        <x:v>common.terrain.interval_seconds</x:v>
      </x:c>
      <x:c r="B100" s="31" t="str">
        <x:v>공용 지형머리</x:v>
      </x:c>
      <x:c r="C100" s="34" t="n">
        <x:v>0.045</x:v>
      </x:c>
      <x:c r="D100" s="25" t="str">
        <x:v>초</x:v>
      </x:c>
      <x:c r="E100" s="25" t="str">
        <x:v>스탬프 생성 간격</x:v>
      </x:c>
      <x:c r="F100" s="26" t="str">
        <x:v>연결</x:v>
      </x:c>
    </x:row>
    <x:row r="101" ht="20" customHeight="1">
      <x:c r="A101" s="24" t="str">
        <x:v>common.terrain.spread_world</x:v>
      </x:c>
      <x:c r="B101" s="31" t="str">
        <x:v>공용 지형머리</x:v>
      </x:c>
      <x:c r="C101" s="34" t="n">
        <x:v>2.2</x:v>
      </x:c>
      <x:c r="D101" s="25" t="str">
        <x:v>unit</x:v>
      </x:c>
      <x:c r="E101" s="25" t="str">
        <x:v>생성 범위</x:v>
      </x:c>
      <x:c r="F101" s="26" t="str">
        <x:v>연결</x:v>
      </x:c>
    </x:row>
    <x:row r="102" ht="20" customHeight="1">
      <x:c r="A102" s="24" t="str">
        <x:v>common.terrain.radius_x_world</x:v>
      </x:c>
      <x:c r="B102" s="31" t="str">
        <x:v>공용 지형머리</x:v>
      </x:c>
      <x:c r="C102" s="34" t="n">
        <x:v>2.2</x:v>
      </x:c>
      <x:c r="D102" s="25" t="str">
        <x:v>unit</x:v>
      </x:c>
      <x:c r="E102" s="25" t="str">
        <x:v>최종 가로 반경</x:v>
      </x:c>
      <x:c r="F102" s="26" t="str">
        <x:v>연결</x:v>
      </x:c>
    </x:row>
    <x:row r="103" ht="20" customHeight="1">
      <x:c r="A103" s="24" t="str">
        <x:v>common.terrain.radius_y_world</x:v>
      </x:c>
      <x:c r="B103" s="31" t="str">
        <x:v>공용 지형머리</x:v>
      </x:c>
      <x:c r="C103" s="34" t="n">
        <x:v>1.65</x:v>
      </x:c>
      <x:c r="D103" s="25" t="str">
        <x:v>unit</x:v>
      </x:c>
      <x:c r="E103" s="25" t="str">
        <x:v>최종 세로 반경</x:v>
      </x:c>
      <x:c r="F103" s="26" t="str">
        <x:v>연결</x:v>
      </x:c>
    </x:row>
    <x:row r="104" ht="20" customHeight="1">
      <x:c r="A104" s="24" t="str">
        <x:v>common.terrain.max_build_height_world</x:v>
      </x:c>
      <x:c r="B104" s="31" t="str">
        <x:v>공용 지형머리</x:v>
      </x:c>
      <x:c r="C104" s="34" t="n">
        <x:v>7</x:v>
      </x:c>
      <x:c r="D104" s="25" t="str">
        <x:v>unit</x:v>
      </x:c>
      <x:c r="E104" s="25" t="str">
        <x:v>표면 위 최대 생성 높이</x:v>
      </x:c>
      <x:c r="F104" s="26" t="str">
        <x:v>연결</x:v>
      </x:c>
    </x:row>
    <x:row r="105" ht="20" customHeight="1">
      <x:c r="A105" s="24" t="str">
        <x:v>common.jet.min_speed</x:v>
      </x:c>
      <x:c r="B105" s="31" t="str">
        <x:v>공용 이동머리</x:v>
      </x:c>
      <x:c r="C105" s="34" t="n">
        <x:v>7</x:v>
      </x:c>
      <x:c r="D105" s="25" t="str">
        <x:v>unit/s</x:v>
      </x:c>
      <x:c r="E105" s="25" t="str">
        <x:v>최소 점프 속도</x:v>
      </x:c>
      <x:c r="F105" s="26" t="str">
        <x:v>연결</x:v>
      </x:c>
    </x:row>
    <x:row r="106" ht="20" customHeight="1">
      <x:c r="A106" s="24" t="str">
        <x:v>common.jet.max_speed</x:v>
      </x:c>
      <x:c r="B106" s="31" t="str">
        <x:v>공용 이동머리</x:v>
      </x:c>
      <x:c r="C106" s="34" t="n">
        <x:v>17</x:v>
      </x:c>
      <x:c r="D106" s="25" t="str">
        <x:v>unit/s</x:v>
      </x:c>
      <x:c r="E106" s="25" t="str">
        <x:v>최대 점프 속도</x:v>
      </x:c>
      <x:c r="F106" s="26" t="str">
        <x:v>연결</x:v>
      </x:c>
    </x:row>
    <x:row r="107" ht="20" customHeight="1">
      <x:c r="A107" s="24" t="str">
        <x:v>common.jet.resolve_timeout_seconds</x:v>
      </x:c>
      <x:c r="B107" s="31" t="str">
        <x:v>공용 이동머리</x:v>
      </x:c>
      <x:c r="C107" s="34" t="n">
        <x:v>5</x:v>
      </x:c>
      <x:c r="D107" s="25" t="str">
        <x:v>초</x:v>
      </x:c>
      <x:c r="E107" s="25" t="str">
        <x:v>동작 종료 제한</x:v>
      </x:c>
      <x:c r="F107" s="26" t="str">
        <x:v>연결</x:v>
      </x:c>
    </x:row>
    <x:row r="108" ht="20" customHeight="1">
      <x:c r="A108" s="24" t="str">
        <x:v>common.jet.landing_stable_seconds</x:v>
      </x:c>
      <x:c r="B108" s="31" t="str">
        <x:v>공용 이동머리</x:v>
      </x:c>
      <x:c r="C108" s="34" t="n">
        <x:v>0.12</x:v>
      </x:c>
      <x:c r="D108" s="25" t="str">
        <x:v>초</x:v>
      </x:c>
      <x:c r="E108" s="25" t="str">
        <x:v>착지 판정 유지 시간</x:v>
      </x:c>
      <x:c r="F108" s="26" t="str">
        <x:v>연결</x:v>
      </x:c>
    </x:row>
    <x:row r="109" ht="20" customHeight="1">
      <x:c r="A109" s="24" t="str">
        <x:v>fall.safe_impact_speed</x:v>
      </x:c>
      <x:c r="B109" s="31" t="str">
        <x:v>낙하 피해</x:v>
      </x:c>
      <x:c r="C109" s="34"/>
      <x:c r="D109" s="25" t="str">
        <x:v>unit/s</x:v>
      </x:c>
      <x:c r="E109" s="25" t="str">
        <x:v>피해가 시작되는 충돌 속도</x:v>
      </x:c>
      <x:c r="F109" s="26" t="str">
        <x:v>미구현</x:v>
      </x:c>
    </x:row>
    <x:row r="110" ht="20" customHeight="1">
      <x:c r="A110" s="27" t="str">
        <x:v>fall.damage_per_excess_speed</x:v>
      </x:c>
      <x:c r="B110" s="32" t="str">
        <x:v>낙하 피해</x:v>
      </x:c>
      <x:c r="C110" s="35"/>
      <x:c r="D110" s="28" t="str">
        <x:v>피해/(unit/s)</x:v>
      </x:c>
      <x:c r="E110" s="28" t="str">
        <x:v>안전 속도 초과분당 피해</x:v>
      </x:c>
      <x:c r="F110" s="29" t="str">
        <x:v>미구현</x:v>
      </x:c>
    </x:row>
  </x:sheetData>
  <x:mergeCells>
    <x:mergeCell ref="A1:F1"/>
    <x:mergeCell ref="A2:F2"/>
  </x:mergeCells>
  <x:pageMargins left="0.7" right="0.7" top="0.75" bottom="0.75" header="0.3" footer="0.3"/>
  <x:tableParts count="1">
    <x:tablePart xmlns:r="http://schemas.openxmlformats.org/officeDocument/2006/relationships" r:id="R87862c51b9794dcd"/>
  </x:tableParts>
</x:worksheet>
</file>

<file path=xl/worksheets/sheet3.xml><?xml version="1.0" encoding="utf-8"?>
<x:worksheet xmlns:x="http://schemas.openxmlformats.org/spreadsheetml/2006/main">
  <x:sheetPr>
    <x:tabColor rgb="FF7B8794"/>
  </x:sheetPr>
  <x:sheetViews>
    <x:sheetView showGridLines="0" workbookViewId="0"/>
  </x:sheetViews>
  <x:sheetFormatPr defaultRowHeight="15"/>
  <x:cols>
    <x:col min="1" max="1" width="34" hidden="0" customWidth="1"/>
    <x:col min="2" max="2" width="20" hidden="0" customWidth="1"/>
    <x:col min="3" max="3" width="3" hidden="0" customWidth="1"/>
    <x:col min="4" max="4" width="48" hidden="0" customWidth="1"/>
  </x:cols>
  <x:sheetData>
    <x:row r="1">
      <x:c r="A1" s="3" t="str">
        <x:v>투척·낙하 계산기</x:v>
      </x:c>
      <x:c r="B1" s="3"/>
      <x:c r="C1" s="3"/>
      <x:c r="D1" s="3"/>
    </x:row>
    <x:row r="2">
      <x:c r="A2" s="41"/>
      <x:c r="B2" s="41"/>
      <x:c r="C2" s="41"/>
      <x:c r="D2" s="41"/>
    </x:row>
    <x:row r="3">
      <x:c r="A3" s="36" t="str">
        <x:v>투척 계산</x:v>
      </x:c>
      <x:c r="B3" s="36" t="str">
        <x:v>값</x:v>
      </x:c>
      <x:c r="C3" s="41"/>
      <x:c r="D3" s="41" t="str">
        <x:v>참고</x:v>
      </x:c>
    </x:row>
    <x:row r="4" ht="70" customHeight="1">
      <x:c r="A4" s="41" t="str">
        <x:v>최대 속도 (px/s)</x:v>
      </x:c>
      <x:c r="B4" s="42" t="n">
        <x:f>VLOOKUP("throw.max_speed_px_per_second",'수치'!$A$5:$C$110,3,FALSE)</x:f>
        <x:v>1200</x:v>
      </x:c>
      <x:c r="C4" s="41"/>
      <x:c r="D4" s="40" t="str">
        <x:v>투척 계산은 바람·충돌·고저차가 없는 포물선의 예상값입니다. 실제 게임 결과는 지형과 물리에 따라 달라집니다.</x:v>
      </x:c>
    </x:row>
    <x:row r="5">
      <x:c r="A5" s="41" t="str">
        <x:v>속도 배율</x:v>
      </x:c>
      <x:c r="B5" s="42" t="n">
        <x:f>VLOOKUP("throw.speed_multiplier",'수치'!$A$5:$C$110,3,FALSE)</x:f>
        <x:v>0.5</x:v>
      </x:c>
      <x:c r="C5" s="41"/>
      <x:c r="D5" s="41"/>
    </x:row>
    <x:row r="6">
      <x:c r="A6" s="41" t="str">
        <x:v>Pixels Per Unit</x:v>
      </x:c>
      <x:c r="B6" s="42" t="n">
        <x:f>VLOOKUP("throw.fallback_pixels_per_unit",'수치'!$A$5:$C$110,3,FALSE)</x:f>
        <x:v>100</x:v>
      </x:c>
      <x:c r="C6" s="41"/>
      <x:c r="D6" s="41"/>
    </x:row>
    <x:row r="7">
      <x:c r="A7" s="41" t="str">
        <x:v>중력 (unit/s²)</x:v>
      </x:c>
      <x:c r="B7" s="43" t="n">
        <x:v>9.81</x:v>
      </x:c>
      <x:c r="C7" s="41"/>
      <x:c r="D7" s="41"/>
    </x:row>
    <x:row r="8">
      <x:c r="A8" s="41" t="str">
        <x:v>발사 각도 (도)</x:v>
      </x:c>
      <x:c r="B8" s="43" t="n">
        <x:v>45</x:v>
      </x:c>
      <x:c r="C8" s="41"/>
      <x:c r="D8" s="41"/>
    </x:row>
    <x:row r="9">
      <x:c r="A9" s="41" t="str">
        <x:v>차징 비율</x:v>
      </x:c>
      <x:c r="B9" s="43" t="n">
        <x:v>1</x:v>
      </x:c>
      <x:c r="C9" s="41"/>
      <x:c r="D9" s="41"/>
    </x:row>
    <x:row r="10">
      <x:c r="A10" s="41" t="str">
        <x:v>실제 발사 속도 (unit/s)</x:v>
      </x:c>
      <x:c r="B10" s="42" t="n">
        <x:f>B4*B5/B6*B9</x:f>
        <x:v>6</x:v>
      </x:c>
      <x:c r="C10" s="41"/>
      <x:c r="D10" s="41"/>
    </x:row>
    <x:row r="11">
      <x:c r="A11" s="41" t="str">
        <x:v>동일 높이 예상 비행 시간 (초)</x:v>
      </x:c>
      <x:c r="B11" s="42" t="n">
        <x:f>2*B10*SIN(RADIANS(B8))/B7</x:f>
        <x:v>0.8649624234697828</x:v>
      </x:c>
      <x:c r="C11" s="41"/>
      <x:c r="D11" s="41"/>
    </x:row>
    <x:row r="12">
      <x:c r="A12" s="41" t="str">
        <x:v>동일 높이 예상 거리 (unit)</x:v>
      </x:c>
      <x:c r="B12" s="42" t="n">
        <x:f>B10^2*SIN(RADIANS(2*B8))/B7</x:f>
        <x:v>3.6697247706422016</x:v>
      </x:c>
      <x:c r="C12" s="41"/>
      <x:c r="D12" s="41"/>
    </x:row>
    <x:row r="13">
      <x:c r="A13" s="41"/>
      <x:c r="B13" s="41"/>
      <x:c r="C13" s="41"/>
      <x:c r="D13" s="41"/>
    </x:row>
    <x:row r="14">
      <x:c r="A14" s="41"/>
      <x:c r="B14" s="41"/>
      <x:c r="C14" s="41"/>
      <x:c r="D14" s="41"/>
    </x:row>
    <x:row r="15">
      <x:c r="A15" s="36" t="str">
        <x:v>낙하 피해 계산</x:v>
      </x:c>
      <x:c r="B15" s="36" t="str">
        <x:v>값</x:v>
      </x:c>
      <x:c r="C15" s="41"/>
      <x:c r="D15" s="41"/>
    </x:row>
    <x:row r="16">
      <x:c r="A16" s="41" t="str">
        <x:v>현재 구현 상태</x:v>
      </x:c>
      <x:c r="B16" s="41" t="str">
        <x:v>현재 코드 미구현</x:v>
      </x:c>
      <x:c r="C16" s="41"/>
      <x:c r="D16" s="41"/>
    </x:row>
    <x:row r="17">
      <x:c r="A17" s="41" t="str">
        <x:v>안전 충돌 속도 (unit/s)</x:v>
      </x:c>
      <x:c r="B17" s="43"/>
      <x:c r="C17" s="41"/>
      <x:c r="D17" s="41"/>
    </x:row>
    <x:row r="18">
      <x:c r="A18" s="41" t="str">
        <x:v>초과 속도당 피해</x:v>
      </x:c>
      <x:c r="B18" s="43"/>
      <x:c r="C18" s="41"/>
      <x:c r="D18" s="41"/>
    </x:row>
    <x:row r="19">
      <x:c r="A19" s="41" t="str">
        <x:v>실제 충돌 속도 (unit/s)</x:v>
      </x:c>
      <x:c r="B19" s="43"/>
      <x:c r="C19" s="41"/>
      <x:c r="D19" s="41"/>
    </x:row>
    <x:row r="20">
      <x:c r="A20" s="41" t="str">
        <x:v>예상 낙하 피해</x:v>
      </x:c>
      <x:c r="B20" s="42" t="str">
        <x:f>IF(OR(B17="",B18="",B19=""),"n.a.",MAX(0,(B19-B17)*B18))</x:f>
        <x:v>n.a.</x:v>
      </x:c>
      <x:c r="C20" s="41"/>
      <x:c r="D20" s="41"/>
    </x:row>
  </x:sheetData>
  <x:mergeCells>
    <x:mergeCell ref="A1:D1"/>
  </x:mergeCells>
  <x:pageMargins left="0.7" right="0.7" top="0.75" bottom="0.75" header="0.3" footer="0.3"/>
</x:worksheet>
</file>